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Özet" sheetId="1" state="visible" r:id="rId3"/>
    <sheet name="Kanallar" sheetId="2" state="visible" r:id="rId4"/>
    <sheet name="Konseptler" sheetId="3" state="visible" r:id="rId5"/>
    <sheet name="Fırsatlar" sheetId="4" state="visible" r:id="rId6"/>
    <sheet name="Rakip Kontroller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<sst xmlns="http://schemas.openxmlformats.org/spreadsheetml/2006/main" count="7121" uniqueCount="1916">
  <si>
    <t xml:space="preserve">Konsept Araştırması – Nexlev verisi, 9 Ekim 2026</t>
  </si>
  <si>
    <t xml:space="preserve">KRİTERLER</t>
  </si>
  <si>
    <t xml:space="preserve">• Kanal açılışı ≤ 5 ay (2026-05-09 sonrası) – Nexlev 'channelCreatedAfter' + ilk video tarihiyle çapraz kontrol edildi.</t>
  </si>
  <si>
    <t xml:space="preserve">• Para kazanma açık (isMonetizationEnabled = true).</t>
  </si>
  <si>
    <t xml:space="preserve">• Tahmini aylık AdSense geliri ≥ $1.000 (Nexlev tahmini; sponsorluk/ürün dahil değil).</t>
  </si>
  <si>
    <t xml:space="preserve">KAPSAM VE YÖNTEM</t>
  </si>
  <si>
    <t xml:space="preserve">1) search_niche_finder_channels (query='*', yukarıdaki filtreler): Nexlev 1.137 kanal buldu. Ücretsiz plan 24 saatte 5 sorgu izin verdiği için 5 sayfa = 500 kanal çekilebildi (sayfa 1,2,3,4,6).</t>
  </si>
  <si>
    <t xml:space="preserve">2) latest_discovered_faceless_niches (1.000 kanal): yaşı ≤155 gün, monetize, ≥$1.000 olan 71 kanal; 61'i yeni → toplam 561 kanal.</t>
  </si>
  <si>
    <t xml:space="preserve">3) 561 kanalın her birinin son video başlıkları tek tek okunup 101 konsept kümesine elle atandı (Kanallar sayfası 'Konsept' sütunu).</t>
  </si>
  <si>
    <t xml:space="preserve">4) Aday boşluklar için 13 canlı YouTube araması yapıldı (rakip sayısı + kopyaların izlenmesi) ve 1.310 güncel faceless outlier video tarandı → 'Rakip Kontrolleri' sayfası.</t>
  </si>
  <si>
    <t xml:space="preserve">5) 'Konseptler' sayfasında her küme için yeni kanal sayısı/geliri formülle hesaplanır; 'Fırsatlar' sayfası puanlı öneri listesidir.</t>
  </si>
  <si>
    <t xml:space="preserve">ÖNEMLİ UYARILAR</t>
  </si>
  <si>
    <t xml:space="preserve">• 1.137 kanalın 637'si henüz çekilemedi (kota). Yarın kalan sayfalar (5, 7-12) çekilip tablo güncellenebilir.</t>
  </si>
  <si>
    <t xml:space="preserve">• Gelir rakamları Nexlev tahminidir. 1-3K aboneli kanalda $10K+/ay gibi değerler RPM tahmininden şişmiş olabilir – kendi kontrolünde izlenme/RPM'ye bak.</t>
  </si>
  <si>
    <t xml:space="preserve">• WIRED Investigations (#351) 'yeni kanal' görünse de ilk videosu 2016 – kurumsal yeniden yükleme, hariç tut.</t>
  </si>
  <si>
    <t xml:space="preserve">• 'Latest' kaynaklı 61 kanalda kanal yaşı gün cinsinden (Nexlev ay yuvarlaması: 14/21/28/30/61/92/122/153).</t>
  </si>
  <si>
    <t xml:space="preserve">• Şüpheli gelir tahminleri: 3DVerse 12 (#2, $62.8K, video başı ~4K izlenme), 3D_Spectra_YT (#3), Senju (#1), Crazy Football (#6), Baseplate (#16), REDDIT HAN (#42) – izlenmeleri gelirle orantısız; muhtemelen Nexlev hatası veya Shorts ağırlıklı. PopDaBalloon (#4) TV şovu yeniden yüklemesi (telif riski).</t>
  </si>
  <si>
    <t xml:space="preserve">• Veri setindeki kanalların tamamı faceless (Nexlev veritabanı faceless odaklı). %35'i Nexlev'e göre AI içerik.</t>
  </si>
  <si>
    <t xml:space="preserve">ANA BULGU – 'boşluk' nasıl okunmalı</t>
  </si>
  <si>
    <t xml:space="preserve">Başarılı bir format 1-3 hafta içinde 10-15 birebir kopya kanal çekiyor (Amish, Haile Selassie çocukları, 'cop caught lying in court'). Kopyalar 0-2K izlenmede ölüyor; orijinal kazanmaya devam ediyor.</t>
  </si>
  <si>
    <t xml:space="preserve">Yani gerçek boşluk = (a) talep kanıtlı ama faceless arzı olmayan konu, ya da (b) kanıtlı ŞABLONUN henüz kimsenin girmediği komşu dikeye taşınması. Fırsatlar sayfası bu mantıkla sıralandı.</t>
  </si>
  <si>
    <t xml:space="preserve">SAYFALAR</t>
  </si>
  <si>
    <t xml:space="preserve">Kanallar – 561 kanal, link, metrik, konsept, son videolar (filtrelenebilir tablo)</t>
  </si>
  <si>
    <t xml:space="preserve">Konseptler – 101 küme: yeni kanal sayısı, toplam/ortalama/maks gelir (formül), doygunluk, dış kontrol notu</t>
  </si>
  <si>
    <t xml:space="preserve">Fırsatlar – puanlı boşluk/konsept önerileri, kanıt ve önerilen açı</t>
  </si>
  <si>
    <t xml:space="preserve">Rakip Kontrolleri – yapılan YouTube aramaları ve sonuçları</t>
  </si>
  <si>
    <t xml:space="preserve">No</t>
  </si>
  <si>
    <t xml:space="preserve">Kanal</t>
  </si>
  <si>
    <t xml:space="preserve">Link</t>
  </si>
  <si>
    <t xml:space="preserve">Konsept kodu</t>
  </si>
  <si>
    <t xml:space="preserve">Konsept</t>
  </si>
  <si>
    <t xml:space="preserve">Dil</t>
  </si>
  <si>
    <t xml:space="preserve">Ülke</t>
  </si>
  <si>
    <t xml:space="preserve">Nexlev kategori</t>
  </si>
  <si>
    <t xml:space="preserve">Format</t>
  </si>
  <si>
    <t xml:space="preserve">Aylık gelir ($)</t>
  </si>
  <si>
    <t xml:space="preserve">Abone</t>
  </si>
  <si>
    <t xml:space="preserve">Video sayısı</t>
  </si>
  <si>
    <t xml:space="preserve">Ort. izlenme/video</t>
  </si>
  <si>
    <t xml:space="preserve">Aylık izlenme</t>
  </si>
  <si>
    <t xml:space="preserve">Ort. süre (dk)</t>
  </si>
  <si>
    <t xml:space="preserve">RPM ($)</t>
  </si>
  <si>
    <t xml:space="preserve">Outlier</t>
  </si>
  <si>
    <t xml:space="preserve">AI içerik</t>
  </si>
  <si>
    <t xml:space="preserve">İlk video / yaş</t>
  </si>
  <si>
    <t xml:space="preserve">Kanal yaşı (gün)</t>
  </si>
  <si>
    <t xml:space="preserve">Kaynak</t>
  </si>
  <si>
    <t xml:space="preserve">Son videolar (izlenme)</t>
  </si>
  <si>
    <t xml:space="preserve">Senju</t>
  </si>
  <si>
    <t xml:space="preserve">YouTube</t>
  </si>
  <si>
    <t xml:space="preserve">GAMING</t>
  </si>
  <si>
    <t xml:space="preserve">Oyun (Roblox/Minecraft/diğer)</t>
  </si>
  <si>
    <t xml:space="preserve">sports, soccer, youtube challenge videos</t>
  </si>
  <si>
    <t xml:space="preserve">Hayır</t>
  </si>
  <si>
    <t xml:space="preserve">28 gün</t>
  </si>
  <si>
    <t xml:space="preserve">latest</t>
  </si>
  <si>
    <t xml:space="preserve">I Did Something Nobody Has Ever Done (338,000) | They Made a Rocket League Clone...I Broke it (243,000) | We Tried the Hardest Custom Map in Rocket League (94,000) | He Sold...Again (15,000)</t>
  </si>
  <si>
    <t xml:space="preserve">3DVerse 12</t>
  </si>
  <si>
    <t xml:space="preserve">ANIM3D</t>
  </si>
  <si>
    <t xml:space="preserve">3D animasyon vitrin/derleme</t>
  </si>
  <si>
    <t xml:space="preserve">animation, design, software</t>
  </si>
  <si>
    <t xml:space="preserve">122 gün</t>
  </si>
  <si>
    <t xml:space="preserve">My 3D Animation Workflow in iClone (4,200)</t>
  </si>
  <si>
    <t xml:space="preserve">3D_Spectra_YT</t>
  </si>
  <si>
    <t xml:space="preserve">animation, future &amp; discoveries, tech</t>
  </si>
  <si>
    <t xml:space="preserve">30 gün</t>
  </si>
  <si>
    <t xml:space="preserve">Top Five 3D Animations That Broke the Internet [September Edition] (3,500) | Top 6 3D Animations That Broke the Internet [August Edition] (2,500)</t>
  </si>
  <si>
    <t xml:space="preserve">PopDaBalloon</t>
  </si>
  <si>
    <t xml:space="preserve">DATING</t>
  </si>
  <si>
    <t xml:space="preserve">Flört şovu (Pop the Balloon) özetleri</t>
  </si>
  <si>
    <t xml:space="preserve">reality tv, drama, stories</t>
  </si>
  <si>
    <t xml:space="preserve">153 gün</t>
  </si>
  <si>
    <t xml:space="preserve">A Toxic Match | She Flew To Chicago And He Repaid Her With A Gold Digger Meme | Pop The Balloon (160,000) | He Manipulated And Then Ghosted Her A Week Later | Pop The Balloon or Find Love | With Arlette Amuli (140,000) | She Matched With Him and Flew to Africa...The Catchup Exposed Everything Pop The Balloon or Findlove (84,000) | A Broken Match💔 | She Did Everything Right And He Had Nothing To Give | Pop The Balloon Catchup EP86 (35,000)</t>
  </si>
  <si>
    <t xml:space="preserve">Judge Jason</t>
  </si>
  <si>
    <t xml:space="preserve">COPCOURT</t>
  </si>
  <si>
    <t xml:space="preserve">Polis suistimali → mahkeme/dava analizi</t>
  </si>
  <si>
    <t xml:space="preserve">en</t>
  </si>
  <si>
    <t xml:space="preserve">court cases &amp; legal proceedings</t>
  </si>
  <si>
    <t xml:space="preserve">commentary</t>
  </si>
  <si>
    <t xml:space="preserve">2026-07-05</t>
  </si>
  <si>
    <t xml:space="preserve">search</t>
  </si>
  <si>
    <t xml:space="preserve">The Most Hated Cop in America FINALLY Gets Punished — 1 Million Dollar Lawsuit! (4,400,000) | Cop Pulls Over the Wrong Man — CAUGHT Lying AGAIN in Court! ($450K Lawsuit) (3,700,000) | Corrupt Cop PLANTS Evidence — His Own Bodycam BACKFIRES in Court! (1,000,000) | The Most Rotten Top Cop Family in America Finally SHUT DOWN in Court! (976,000)</t>
  </si>
  <si>
    <t xml:space="preserve">Crazy Football</t>
  </si>
  <si>
    <t xml:space="preserve">SPORTS</t>
  </si>
  <si>
    <t xml:space="preserve">Spor haber/fan/derleme</t>
  </si>
  <si>
    <t xml:space="preserve">soccer, sports, news</t>
  </si>
  <si>
    <t xml:space="preserve">61 gün</t>
  </si>
  <si>
    <t xml:space="preserve">The Most BRUTAL FINAL in World Cup History (13,000) | Why Everyone Is Calling Argentina "Vargentina" (6,200) | Will Julian Alvarez Join Barcelona?!? (2,400) | FIFA Nightmare Begins as Argentina Starts Brawl in World Cup Final (2,000)</t>
  </si>
  <si>
    <t xml:space="preserve">Deutsche Chroniken</t>
  </si>
  <si>
    <t xml:space="preserve">HISTDOC</t>
  </si>
  <si>
    <t xml:space="preserve">Genel tarih belgeseli</t>
  </si>
  <si>
    <t xml:space="preserve">de</t>
  </si>
  <si>
    <t xml:space="preserve">DE</t>
  </si>
  <si>
    <t xml:space="preserve">history</t>
  </si>
  <si>
    <t xml:space="preserve">documentary</t>
  </si>
  <si>
    <t xml:space="preserve">Evet</t>
  </si>
  <si>
    <t xml:space="preserve">2026-09-06</t>
  </si>
  <si>
    <t xml:space="preserve">Why did Germany lose Silesia? The full story | Documentary (386,000) | Berlin ist keine Stadt – 8 Städte, die man 1920 zusammengezwungen hat (142,000) | Deutsche Nachnamen: Was dein Name über deine Herkunft verrät | Doku (140,000) | The Morgenthau Plan: America’s Plan to Abolish Germany | Documentary (121,000)</t>
  </si>
  <si>
    <t xml:space="preserve">The Last Day</t>
  </si>
  <si>
    <t xml:space="preserve">DISASTER</t>
  </si>
  <si>
    <t xml:space="preserve">Doğal afet / volkan / felaket senaryosu</t>
  </si>
  <si>
    <t xml:space="preserve">US</t>
  </si>
  <si>
    <t xml:space="preserve">future &amp; discoveries</t>
  </si>
  <si>
    <t xml:space="preserve">2026-08-05</t>
  </si>
  <si>
    <t xml:space="preserve">Nepal's 2026 Disaster Explained: The Glacier That Wiped Out a Valley (4,800,000) | What would happen If the Moon Crashed Into Earth? (1,400,000) | The Wave That Was Taller Than a Skyscraper (1,300,000) | What Would Happen If an Asteroid Hit the Ocean? (1,000,000)</t>
  </si>
  <si>
    <t xml:space="preserve">Dr. Ares Senior</t>
  </si>
  <si>
    <t xml:space="preserve">SENIORHEALTH</t>
  </si>
  <si>
    <t xml:space="preserve">Yaşlılara doktor sağlık tavsiyesi (AI)</t>
  </si>
  <si>
    <t xml:space="preserve">health</t>
  </si>
  <si>
    <t xml:space="preserve">educational</t>
  </si>
  <si>
    <t xml:space="preserve">2026-09-05</t>
  </si>
  <si>
    <t xml:space="preserve">Cardiologist Warns: This Sleeping Position Increases STROKE Risk Overnight! (1,700,000) | Cardiologist Warns: Millions Do THIS Every Morning Without Knowing the Risk! (1,100,000) | What Really Happens When You Go Under Anesthesia (905,000) | 5 Common Pills That Secretly Increase Heart Attack &amp; Stroke Risk After 60 (670,000)</t>
  </si>
  <si>
    <t xml:space="preserve">Underwater Earth 4K</t>
  </si>
  <si>
    <t xml:space="preserve">OCEAN4K</t>
  </si>
  <si>
    <t xml:space="preserve">3 saatlik okyanus/doğa 4K belgesel</t>
  </si>
  <si>
    <t xml:space="preserve">travel documentary</t>
  </si>
  <si>
    <t xml:space="preserve">2026-06-05</t>
  </si>
  <si>
    <t xml:space="preserve">The Deep Ocean: The Last Unknown World on Earth (3,000,000) | Mariana Trench: What Lives in the Deepest Place on Earth ? (467,000) | Drake Passage: The Most Violent Waterway on Earth (414,000) | Bermuda Triangle: The Ocean Mystery That Still Haunts the World (404,000)</t>
  </si>
  <si>
    <t xml:space="preserve">Mystic Life Stories</t>
  </si>
  <si>
    <t xml:space="preserve">NDE</t>
  </si>
  <si>
    <t xml:space="preserve">Ölüme yakın deneyim (İsa'yı gördüm)</t>
  </si>
  <si>
    <t xml:space="preserve">christianity</t>
  </si>
  <si>
    <t xml:space="preserve">stories</t>
  </si>
  <si>
    <t xml:space="preserve">Woman DIED for 19 Minutes, Met JESUS &amp; Revealed a SHOCKING Truth About Trump in OCT. 2026 (1,700,000) | I DIED at 95 &amp; JESUS Exposed a SHOCKING Truth About Black People — Christian Testimony (46,000) | I'm 90 Years Old — I DIED for 8 Minutes &amp; JESUS Revealed America's TERRIFYING Warning for Sep. 2026 (46,000) | I'm 90 Years Old— I DIED for 11 Minutes &amp; JESUS Showed Me AMERICA 's Terrifying OCTOBER 2026 WARNING (35,000)</t>
  </si>
  <si>
    <t xml:space="preserve">States 2050</t>
  </si>
  <si>
    <t xml:space="preserve">FUTUREINV</t>
  </si>
  <si>
    <t xml:space="preserve">'Amerika/Japonya/Çin'in yeni icadı herkesi şoke etti'</t>
  </si>
  <si>
    <t xml:space="preserve">America's New Flying Invention Is Shocking Everyone (966,000) | America's New Humanoid Robot Is Shocking the Entire World (761,000) | America’s New Invention Could Make Oil Obsolete (747,000) | America's New Weapon Could Destroy Russia and China (628,000)</t>
  </si>
  <si>
    <t xml:space="preserve">Crime Effect</t>
  </si>
  <si>
    <t xml:space="preserve">TRUECRIME</t>
  </si>
  <si>
    <t xml:space="preserve">Gerçek suç belgeseli (anlatı)</t>
  </si>
  <si>
    <t xml:space="preserve">crime</t>
  </si>
  <si>
    <t xml:space="preserve">Texas Nurse Hits 130 MPH at Red Light... Killed 6 Including Pregnant Mom and Infant | Nicole Linton (4,200,000) | 15-Year-Old Baton Rouge Teen Vanished After Confronting 51-Year-Old Predator Over a Girl (535,000) | Her Mother Gave Him Access to Her for Money — 5-Year-Old Kamarie Holland Was Found Dead Hours Later (512,000) | Louisiana Mom Claimed Her Toddler Was Kidnapped...Hours Later, Police Found Him in a Trash Can (476,000)</t>
  </si>
  <si>
    <t xml:space="preserve">InternetJanitor</t>
  </si>
  <si>
    <t xml:space="preserve">CREATORDRAMA</t>
  </si>
  <si>
    <t xml:space="preserve">YouTuber dramaları (MrBeast dosyaları)</t>
  </si>
  <si>
    <t xml:space="preserve">internet controversies</t>
  </si>
  <si>
    <t xml:space="preserve">The MrBeast Files Are Really Bad (3,300,000) | The Jack Doherty Files Are Really Bad (1,200,000) | The Victims of MrBeast (956,000) | The Evil Psychology Of MrBeast (536,000)</t>
  </si>
  <si>
    <t xml:space="preserve">Secret State Files</t>
  </si>
  <si>
    <t xml:space="preserve">ANCIENTWHY</t>
  </si>
  <si>
    <t xml:space="preserve">'Atalarımız nasıl yaşadı / neden X yapıyoruz' soruları</t>
  </si>
  <si>
    <t xml:space="preserve">Before Air Conditioning, How Did Americans Survive the Summer? (992,000) | Before Central Heating, How Did Americans Survive Freezing Winters? (939,000) | America Had No Income Tax Until 1913 — How Was the Government Funded Before That? (879,000) | American Malls Were Once Packed — So What Killed Them? (755,000)</t>
  </si>
  <si>
    <t xml:space="preserve">Baseplate</t>
  </si>
  <si>
    <t xml:space="preserve">roblox, animation, gaming</t>
  </si>
  <si>
    <t xml:space="preserve">Baseplate Shorts Compilation | Roblox Animation (80,000)</t>
  </si>
  <si>
    <t xml:space="preserve">The Silent Ruins</t>
  </si>
  <si>
    <t xml:space="preserve">BATTLEGRAVE</t>
  </si>
  <si>
    <t xml:space="preserve">Savaş alanı / isimsiz mezar arkeolojisi</t>
  </si>
  <si>
    <t xml:space="preserve">The Bullet-Riddled Ground of the Little Bighorn Just Got Even Stranger (640,000) | Something About South Dakota's Little Bighorn Battlefield No Longer Makes Sense (516,000) | The Unmarked Graves Of Antietam Battlefield Just Got Even Stranger (412,000) | Archaeologists Unearthed Something in Louisiana That Predates the Egyptian Pyramids (376,000)</t>
  </si>
  <si>
    <t xml:space="preserve">Yucky Stew</t>
  </si>
  <si>
    <t xml:space="preserve">EBIKEPOV</t>
  </si>
  <si>
    <t xml:space="preserve">E-bisiklet POV: ünlü mahalleleri turu</t>
  </si>
  <si>
    <t xml:space="preserve">recreation</t>
  </si>
  <si>
    <t xml:space="preserve">vlogs</t>
  </si>
  <si>
    <t xml:space="preserve">Riding the SECRET streets of BEL-AIR to CELEBRITY HOMES (E-Bike POV) (1,500,000) | Sunset Boulevard is Dying, Restaurants Are Out Of Business, Miles Of Vacancies &amp; Abandoned Buildings (833,000) | Riding the SECRET streets of the HOLLYWOOD HILLS to CELEBRITY HOMES (E-Bike POV) (828,000) | I TOOK MY E-BIKE DEEP INTO HOLLYWOOD’S EXOTIC CAR STREETS (insane) (501,000)</t>
  </si>
  <si>
    <t xml:space="preserve">Lubo</t>
  </si>
  <si>
    <t xml:space="preserve">fr</t>
  </si>
  <si>
    <t xml:space="preserve">FR</t>
  </si>
  <si>
    <t xml:space="preserve">minecraft</t>
  </si>
  <si>
    <t xml:space="preserve">gaming</t>
  </si>
  <si>
    <t xml:space="preserve">We Survived 100 Days on Create with FuzeIII (497,000) | If we say the name of a block... it disappears (481,000) | 100 Players Create 2 CIVILIZATIONS: RICH vs POOR (426,000) | Minecraft but we're blind, deaf, mute, and drunk (423,000)</t>
  </si>
  <si>
    <t xml:space="preserve">MiniFlipThatDrama</t>
  </si>
  <si>
    <t xml:space="preserve">AIDRAMA</t>
  </si>
  <si>
    <t xml:space="preserve">AI kısa drama / 'reborn' [FULL] filmler</t>
  </si>
  <si>
    <t xml:space="preserve">theatre</t>
  </si>
  <si>
    <t xml:space="preserve">2026-07-06</t>
  </si>
  <si>
    <t xml:space="preserve">[FULL] ❤️💥Human Me, Falling for the Vampire I Hate (1,600,000) | [FULL] 💥⚡️Baldur: The Outcast Son of Thunder (1,600,000) | [FULL] 🐺❤️The Alpha King’s Forbidden Luna (1,000,000) | [FULL] 🪄🔥Rise of the Mage God (1,000,000)</t>
  </si>
  <si>
    <t xml:space="preserve">Aussie True Crime</t>
  </si>
  <si>
    <t xml:space="preserve">Her missing phone exposed the k*ller's lie 📱 | Murder Calls (314,000) | The prison confession that exposed a BURIED secret | Forensic Investigators (213,000) | One tiny bloodstain solved a triple family homicide | Forensic Investigators (173,000) | One tiny clue exposed a serial k*ller 🔬 | Forensic Investigators (149,000)</t>
  </si>
  <si>
    <t xml:space="preserve">Liliana Sun</t>
  </si>
  <si>
    <t xml:space="preserve">LIVINGIN</t>
  </si>
  <si>
    <t xml:space="preserve">'X'te yaşam' ülke belgeseli</t>
  </si>
  <si>
    <t xml:space="preserve">A unique Khanty dwelling that can withstand the most severe cold in the world. Russia. Yamal. (6,300,000) | One Family's Survival in the Endless Hottest Desert in the World. Documentary (3,000,000) | How do the northern Khanty people survive in the harsh Siberian climate of Russia? (1,000,000) | What is life like for a Mongolian family in one of the world's largest deserts? (959,000)</t>
  </si>
  <si>
    <t xml:space="preserve">Silas Investigates</t>
  </si>
  <si>
    <t xml:space="preserve">10 People Who VANISHED Then REAPPEARED With Strange Stories | Where Were They? (698,000) | 10 People MURDERED After Exposing GOVERNMENT Secrets | Silenced Before They Could Talk (253,000) | 10 Journalists Who DISAPPEARED Chasing ONE Story | They Knew Too Much (161,000) | FAMILIES Who VANISHED Overnight And Were NEVER Found | Where Did They Go? (99,000)</t>
  </si>
  <si>
    <t xml:space="preserve">Nils</t>
  </si>
  <si>
    <t xml:space="preserve">The First Civilization in the World Was Rather Strange (3,300,000) | The Library of Alexandria is Weirder Than You Think (2,000,000) | The Rise and Fall of the World's Most Evil Empire (No AI) (819,000) | The Phoenicians Were Stranger Than You Think (No AI) (456,000)</t>
  </si>
  <si>
    <t xml:space="preserve">The Unseen Earth</t>
  </si>
  <si>
    <t xml:space="preserve">BLUE PLANET | A Journey Through The Living Ocean | FULL EPISODE | 4K Documentary (493,000) | COASTAL SEAS | Life, Waves and Secrets Along the World’s Shores | FULL DOCUMENTARY (416,000) | DEEP SEA CREATURES | The Strange Life Forms That Rule Earth’s Hidden Worlds | FULL DOCUMENTARY (159,000) | BLUE PLANET II | The Hidden Life That Connects Earth’s Oceans | FULL EPISODE | 4K DOCUMENTTARY (151,000)</t>
  </si>
  <si>
    <t xml:space="preserve">Serious History Compilations</t>
  </si>
  <si>
    <t xml:space="preserve">compilation</t>
  </si>
  <si>
    <t xml:space="preserve">2 Hours of Animated History to Fall Asleep to (NO AI) (1,100,000) | 2 Hours of People Completely Crashing Out in History (276,000) | 2 Hours of History Stories for People who HATE AI SLOP (262,000) | 2.5 Hours of the Greatest Battles in History Animated | Serious History Compilation (187,000)</t>
  </si>
  <si>
    <t xml:space="preserve">Gilded Heart Dramas</t>
  </si>
  <si>
    <t xml:space="preserve">life stories</t>
  </si>
  <si>
    <t xml:space="preserve">2026-08-06</t>
  </si>
  <si>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Everyone Thought She Was a Mute Beggar… Until They Found Out She Was a Billionaire CEO (511,000)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He Dumped a Cleaner—She Married the President, Not Knowing She Was the True Heiress (380,000)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She Hid Her True Power… Until a Monster Army Forced Her to Reveal Herself (320,000)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They Humiliated His Genius Wife, Not Knowing She Was an AI Legend (311,000)</t>
    </r>
  </si>
  <si>
    <t xml:space="preserve">Dad Prevails</t>
  </si>
  <si>
    <t xml:space="preserve">FAMREVENGE</t>
  </si>
  <si>
    <t xml:space="preserve">Aile intikam hikayeleri (yaşlı ebeveyn POV)</t>
  </si>
  <si>
    <t xml:space="preserve">“Your Wife’s Illness Isn’t Our Problem,” My Daughter-in-Law Said — Then 23 Came to My Lake House (132,000) | My Son Abandoned Me At The Airport—Then A Wealthy Woman Whispered, "I Need A Husband. Come With Me." (118,000) | My Son Threw Me Out of His Wedding for His Bride — But What I Said Next...| Family revenge story. (77,000) | My Son Texted “My Flight Was Canceled. Happy 70th.” — Then I Saw Him at the Restaurant |Dad Prevails (64,000)</t>
  </si>
  <si>
    <t xml:space="preserve">Grands Reportages - TF1</t>
  </si>
  <si>
    <t xml:space="preserve">NEWSINV</t>
  </si>
  <si>
    <t xml:space="preserve">Kurumsal araştırmacı gazetecilik (re-upload)</t>
  </si>
  <si>
    <t xml:space="preserve">investigative documentaries</t>
  </si>
  <si>
    <t xml:space="preserve">Baumettes Prison: A Daily Life Under High Tension (1,000,000) | Our exclusive immersion with the Financial BRI! (559,000) | Enquête : ils ont disparu sans laisser d'adresse ! (508,000) | Saint-Maur: Inside a High-Security Prison! (478,000)</t>
  </si>
  <si>
    <t xml:space="preserve">The State Archive</t>
  </si>
  <si>
    <t xml:space="preserve">CELEB_DEATH</t>
  </si>
  <si>
    <t xml:space="preserve">Ünlü ölüm/miras 'son dakika' (Dolly Parton vb)</t>
  </si>
  <si>
    <t xml:space="preserve">Why Dolly Parton's Marriage With Carl Dean Was Much Nastier Than You Thought (529,000) | Dolly Parton's Childhood Was Much CRUELER Than You Thought (362,000) | Presley Gerber's Childhood Was Much CRUELER Than You Thought (257,000) | Dolly Parton Was A MONSTER Off Camera (232,000)</t>
  </si>
  <si>
    <t xml:space="preserve">Democratic Live Trust</t>
  </si>
  <si>
    <t xml:space="preserve">POLITICS</t>
  </si>
  <si>
    <t xml:space="preserve">Siyasi tepki / haber (ABD, AB, Meksika)</t>
  </si>
  <si>
    <t xml:space="preserve">pop news &amp; gossip</t>
  </si>
  <si>
    <t xml:space="preserve">Trump ORDERS for Deportation of Jim Carrey after he HUMILIATED Him on Live Tv. (1,300,000) | Morgan Freeman TEARS Trump On Live Tv. It Broke the Internet (593,000) | SNL and Jimmy Kimmel Destroyed Trump on live. It's Hilarious... (248,000) | Don Jr Calls The Cops On Jimmy Kimmel After He EXPOSED him Live on Air. It's Hilarious (139,000)</t>
  </si>
  <si>
    <t xml:space="preserve">Meister Carl Jung</t>
  </si>
  <si>
    <t xml:space="preserve">SELFHELP</t>
  </si>
  <si>
    <t xml:space="preserve">Stoik, Jung, psikoloji, kişisel gelişim</t>
  </si>
  <si>
    <t xml:space="preserve">self improvement</t>
  </si>
  <si>
    <t xml:space="preserve">HÖR DIR DAS VOR DEM EINSCHLAFEN AN – UND WACHE MORGEN MIT EINEM VÖLLIG NEUEN GEFÜHL AUF | Carl Jung (189,000) | Gib Salz in deine Schuhe und verändere dein Leben für immer (das uralte Geheimnis) | Carl Jung (169,000) | BITTE SO – UND DAS UNIVERSUM WIRD KEINE ANDERE WAHL HABEN, ALS DICH ZU ERHÖREN | Carl Jung (135,000) | Activate Your Vagus Nerve in 4 Minutes and Attract Everything Into Your Life | Carl Jung (129,000)</t>
  </si>
  <si>
    <t xml:space="preserve">BBTV NEW</t>
  </si>
  <si>
    <t xml:space="preserve">WILDLIFE</t>
  </si>
  <si>
    <t xml:space="preserve">Vahşi yaşam (yaşam döngüsü, avcılar)</t>
  </si>
  <si>
    <t xml:space="preserve">es</t>
  </si>
  <si>
    <t xml:space="preserve">ES</t>
  </si>
  <si>
    <t xml:space="preserve">wildlife</t>
  </si>
  <si>
    <t xml:space="preserve">Pangolín: 99 Días Desde el Nacimiento Hasta la Supervivencia | Documental del Pangolín (1,400,000) | Halcón Peregrino: 99 Días Desde el Huevo Hasta la Supervivencia | Documental del Halcón Peregrino (849,000) | León: 100 Días Desde el Nacimiento Hasta la Supervivencia | Documental del León (676,000) | Cálao Grande: 99 Días Desde el Huevo Hasta la Supervivencia | Documental del Cálao Grande (607,000)</t>
  </si>
  <si>
    <t xml:space="preserve">JPaniagua Docs</t>
  </si>
  <si>
    <t xml:space="preserve">FINANCE</t>
  </si>
  <si>
    <t xml:space="preserve">Kişisel finans / ekonomisi / nasıl para kazanır</t>
  </si>
  <si>
    <t xml:space="preserve">MX</t>
  </si>
  <si>
    <t xml:space="preserve">business</t>
  </si>
  <si>
    <t xml:space="preserve">How ROSS Works | The $22 BILLION Empire of Clothes and DISCOUNTS (2,900,000) | How TEMU Works | The CHINESE Giant Moving $73 Billion (601,000) | How TAKIS are made | The Mexican SNACK that conquered the United States | US$1.1 billion (508,000) | MONSTER ENERGY: The brand that turned rebellion into BUSINESS | A US$70 billion empire (477,000)</t>
  </si>
  <si>
    <t xml:space="preserve">Bestias Míticas</t>
  </si>
  <si>
    <t xml:space="preserve">PREHIST</t>
  </si>
  <si>
    <t xml:space="preserve">Tarih öncesi / dinozor / derin zaman</t>
  </si>
  <si>
    <t xml:space="preserve">The 12 MOST TERRIFYING prehistoric monsters in history (3,800,000) | The 42 Extinct Animals That Could Still Be Alive Today | Full Series (563,000) | These Extinct Animals Could Still Be Alive in the Amazon | Complete Series (516,000) | The 6 Prehistoric Animals Found Perfectly Frozen in Ice (341,000)</t>
  </si>
  <si>
    <t xml:space="preserve">Kindly Sleepin'</t>
  </si>
  <si>
    <t xml:space="preserve">SLEEP</t>
  </si>
  <si>
    <t xml:space="preserve">Uyku içerikleri (tarih, bilim, oyun, sohbet)</t>
  </si>
  <si>
    <t xml:space="preserve">Fall Asleep While I Sort 100% Of These Ducks (489,000) | Fall Asleep While I Literally Find A Needle In a Haystack (308,000) | Fall Asleep While I Clean Gross Carpets and Save The World... (299,000) | Fall Asleep While I Build A Waterpark (256,000)</t>
  </si>
  <si>
    <t xml:space="preserve">Bagholder Association</t>
  </si>
  <si>
    <t xml:space="preserve">BIZFALL</t>
  </si>
  <si>
    <t xml:space="preserve">Marka/şirket yükseliş-çöküş (dikey nişler dahil)</t>
  </si>
  <si>
    <t xml:space="preserve">Doritos Is (Finally) Getting What They Deserve... (1,000,000) | Pepsi Is (Finally) Getting What They Deserve… (1,000,000) | Krispy Kreme Is (Finally) Getting What They Deserve... (646,000) | KFC Won the World. So Why Is It Losing America? (468,000)</t>
  </si>
  <si>
    <t xml:space="preserve">Elias Stoltzfus</t>
  </si>
  <si>
    <t xml:space="preserve">AMISH</t>
  </si>
  <si>
    <t xml:space="preserve">Amish topluluğu (göç, yaşam)</t>
  </si>
  <si>
    <t xml:space="preserve">culture</t>
  </si>
  <si>
    <t xml:space="preserve">Thousands of Amish Are Leaving Their Homes — The Reason Will SHOCK You! (3,600,000) | Where Are 400,000 Amish Moving? | The Great Amish Migration Explained (815,000) | Why the Amish Are Quietly Leaving Pennsylvania After 200 Years — The Reason Will SHOCK You! (109,000) | Why Thousands of Amish Families Are Moving — It Started With a School Bus (1,500)</t>
  </si>
  <si>
    <t xml:space="preserve">History Unfiltered</t>
  </si>
  <si>
    <t xml:space="preserve">NATIVE</t>
  </si>
  <si>
    <t xml:space="preserve">Yerli Amerikalı portre/tarih</t>
  </si>
  <si>
    <t xml:space="preserve">2026-09-15</t>
  </si>
  <si>
    <t xml:space="preserve">The "Afghan Mona Lisa" in 2026: What Happened to Sharbat Gula? (2,000,000) | Wild Beauty: The New Generation of Native America 🦅🪶🌿  #NativeAmerican  (179,000) | The Most Beautiful Native American Faces  Portrait Collection #nativeamerican #portrait (93,000) | From War Paint to Runway: Native America Today   #NativeAmerican #NativeAmericans (39,000)</t>
  </si>
  <si>
    <t xml:space="preserve">Murph</t>
  </si>
  <si>
    <t xml:space="preserve">biology</t>
  </si>
  <si>
    <t xml:space="preserve">Why Don't We Eat Duck Eggs Everywhere If Ducks Lay Almost as Fast as Chickens (1,200,000) | Why Do Predators Leave You Alone While You Sleep (520,000) | Why Don’t We Farm Rabbits on the Same Scale as Chickens (442,000) | Why Are Cats Not Afraid of Humans (194,000)</t>
  </si>
  <si>
    <t xml:space="preserve">The Cosmographer</t>
  </si>
  <si>
    <t xml:space="preserve">space &amp; exploration</t>
  </si>
  <si>
    <t xml:space="preserve">The Most Advanced Civilizations That Terrify Scientists (151,000) | The 10 Scariest First Contact Scenarios That Might Actually Happen (133,000) | The 7 Scariest Theories On What Existed Before Time (130,000) | The 10 Scariest Alien Civilization Scenarios That Might Actually Be Real (79,000)</t>
  </si>
  <si>
    <t xml:space="preserve">REDDIT HAN</t>
  </si>
  <si>
    <t xml:space="preserve">reddit stories, stories, internet culture</t>
  </si>
  <si>
    <t xml:space="preserve">My Family Wanted Me To Stay Home Because My Sister Couldn’t Get To… (5,700) | My Parents Skipped My Spinal Surgery For My Sister’s Party—So I Finally Made Them Pay (5,600) | Dad Excluded My Kids From Vacation. I Took Them to Dubai. His Call Was PRICELESS (4,600) | My Mom Told Me She Wished She’d Aborted Me. My Dad Agreed... (4,400)</t>
  </si>
  <si>
    <t xml:space="preserve">Rewatch TV</t>
  </si>
  <si>
    <t xml:space="preserve">CARTOON</t>
  </si>
  <si>
    <t xml:space="preserve">Çizgi film analiz/nostalji</t>
  </si>
  <si>
    <t xml:space="preserve">animation</t>
  </si>
  <si>
    <t xml:space="preserve">The WORST Copycats Of Popular Cartoons (3,800,000) | The Best Crossovers in Cartoon History (1,000,000) | When A Show KILLS OFF A Character (409,000) | The Evolution of Popular Cartoons (344,000)</t>
  </si>
  <si>
    <t xml:space="preserve">Amor Imperial Cortos</t>
  </si>
  <si>
    <t xml:space="preserve">I Married a Handsome, Cold-Hearted Hunter! He Hated Women, but Now He SPOILS Me!#260602qsB2 (555,000) | He said marrying me was his greatest shame. I was reborn and I won't marry him!#260626lsB2 (409,000) | I was pushed into the sea by my ex! THE DRAGON KING OF THE SEA SAVED ME AND I WILL MAKE THAT TRAI... (378,000) | My husband loves my sister, but her husband LOVES ME! Where is this mismatched marriage headed?# (345,000)</t>
  </si>
  <si>
    <t xml:space="preserve">Earth Unknown</t>
  </si>
  <si>
    <t xml:space="preserve">Living in SAUDI ARABIA: How People Live in a Country Changing Faster Than Anywhere | 4K Documentary (890,000) | Living in CHINA: How People Live in a Future Country Amid Destructive Floods | 4K Travel Documentary (582,000) | LIVING IN NEPAL: Before &amp; After the Historic Flood | The End of Nepal? | 4K Travel Documentary (255,000) | Living in Yemen: How People Live in One of the World’s Most Dangerous Countries | 4K Documentary (171,000)</t>
  </si>
  <si>
    <t xml:space="preserve">Stateside Stories | Tales of America</t>
  </si>
  <si>
    <t xml:space="preserve">USPOVERTY</t>
  </si>
  <si>
    <t xml:space="preserve">Görünmeyen Amerika: motel aileleri, yoksulluk belgeseli</t>
  </si>
  <si>
    <t xml:space="preserve">society</t>
  </si>
  <si>
    <t xml:space="preserve">America's Motel Families: Life on the Edge (1,600,000) | Inside America's Hidden Poverty Crisis: From Appalachia To LA (1,100,000) | America’s Lottery Millionaires: What Happens When You Win Big? (796,000) | America Without Limits: Guns, Food and Extreme Living (253,000)</t>
  </si>
  <si>
    <t xml:space="preserve">The Invisible Neighbors</t>
  </si>
  <si>
    <t xml:space="preserve">Homeless at 24, She Bought a Rusted $1 Tiny Cabin — What She Found Inside Shocked the Entire Town (961,000) | Her Husband Divorced Her at 58 and Took the House — So She Turned A Gas Station Into a Luxury Home (393,000) | Homeless at 23,He Bought a Rusted Shipping Container for $20—What He Found Inside Changed Everything (237,000) | Homeless at 21, He Bought a Rusted $100 Truck to Live In — What He Found Inside Shocked Him (218,000)</t>
  </si>
  <si>
    <t xml:space="preserve">The Quiet Wild</t>
  </si>
  <si>
    <t xml:space="preserve">WILDMYSTERY</t>
  </si>
  <si>
    <t xml:space="preserve">Bölgesel vahşi yaşam gizemi ('X eyaletinde neyin avladığı bulundu')</t>
  </si>
  <si>
    <t xml:space="preserve">Biologist Finally Found What's Hunting The Nilgai In Texas—And They're More Dangerous Than You Think (961,000) | The Joro Spider is Spreading Fast in Smoky Mountains-- Is More Dangerous Than You Think (943,000) | Biologists Just Found Out What Pennsylvania Coyotes Actually Are (248,000) | Biologist Finally Found What's Hunting Zebras in California—No One Can Explain Why. (231,000)</t>
  </si>
  <si>
    <t xml:space="preserve">Bodycam Horizon</t>
  </si>
  <si>
    <t xml:space="preserve">BODYCAM</t>
  </si>
  <si>
    <t xml:space="preserve">Polis bodycam tutuklama</t>
  </si>
  <si>
    <t xml:space="preserve">police bodycam</t>
  </si>
  <si>
    <t xml:space="preserve">She Had No License, No Insurance, No Registration — and Still Thought She Could Walk Away (1,100,000) | "You Don't Need a License to Drive" - Then Cops Find a Warrant, Ammo &amp; Drugs in Her Car (408,000) | She Used Her Sister's Name to Dodge Cops — Then They Found a Gun in the Car | Legal Breakdown (309,000) | No License, No Ticket Signed - She Pepper Sprayed Him, Then Punched a Cop | Legal Breakdown (249,000)</t>
  </si>
  <si>
    <t xml:space="preserve">Breakpoint</t>
  </si>
  <si>
    <t xml:space="preserve">disaster and accidents</t>
  </si>
  <si>
    <t xml:space="preserve">This Monster Eruption Reached The Stratosphere — And That's Not The Worst Part (695,000) | Antarctica's 'Doomsday Glacier' Just Got A Terrifying New Warning—Here's What Scientists Are Saying (622,000) | The World's Most Feared Volcano Just Roared Back To Life - And It's Terrifying (604,000) | California's Labor Day Weekend Is About To Turn Dangerous — Here's Why (441,000)</t>
  </si>
  <si>
    <t xml:space="preserve">Moon Pulse</t>
  </si>
  <si>
    <t xml:space="preserve">WAR_NOW</t>
  </si>
  <si>
    <t xml:space="preserve">Güncel savaş (Ukrayna/İran) haber-simülasyon</t>
  </si>
  <si>
    <t xml:space="preserve">military</t>
  </si>
  <si>
    <t xml:space="preserve">30 Russians Defended the Trench — Then One Ran and Gave Them All Away: 15 Cornered in One Bunker (1,500,000) | Ukrainian Soldiers Storm a Trench Line — Then Catch a Russian Major Running for His Life (1,400,000) | Ukrainians Seized the Enemy's Radio — What They Did Next Was the End for the Russian Soldiers (1,100,000) | Two-Pronged Trench Assault: 14 Ukrainian Soldiers Clear Three Bunkers in 6 Hours (1,000,000)</t>
  </si>
  <si>
    <t xml:space="preserve">Qumal Fafma</t>
  </si>
  <si>
    <t xml:space="preserve">NURSING</t>
  </si>
  <si>
    <t xml:space="preserve">Hemşirelik sınavı (NCLEX) eğitimi</t>
  </si>
  <si>
    <t xml:space="preserve">healthcare industry</t>
  </si>
  <si>
    <t xml:space="preserve">tutorial</t>
  </si>
  <si>
    <t xml:space="preserve">The Ultimate Guide to IM Injection Needle Sizes | NCLEX Nursing Training (2,700,000) | The Secret to Choosing the Perfect IM Injection Needle | NCLEX Nursing Masterclass (1,400,000) | IM Injection Needle Sizes Explained | NCLEX Nursing Success Guide (152,000) | Selecting the Right Needle Size for IM Injection | NCLEX &amp; NHS Nursing Training (14,000)</t>
  </si>
  <si>
    <t xml:space="preserve">Snapped: Dark Secrets</t>
  </si>
  <si>
    <t xml:space="preserve">2026-09-07</t>
  </si>
  <si>
    <t xml:space="preserve">Snapped NEW 2026 🕵️Shaunna Dodd ☠️ Documentary True Crime (199,000) | Snapped NEW 2026 🕵️ Sarah McLinn ☠️ Documentary True Crime (85,000) | Snapped NEW 2026 🕵️  Diane Staudte ☠️ Documentary True Crime (83,000) | Snapped NEW 2026 🕵️Shanda Crain ☠️ Documentary True Crime (80,000)</t>
  </si>
  <si>
    <t xml:space="preserve">California Reports</t>
  </si>
  <si>
    <t xml:space="preserve">news</t>
  </si>
  <si>
    <t xml:space="preserve">California Mayor INDICTED As FBI Informant FLIPS &amp; Faces 95 Years Prison Time (841,000) | The Stop Nick Shirley Act: $10,000 Fine for Exposing California Fraud? (736,000) | California AG EXPOSED As $468K VANISHES Amid FBI Bribery Probe (504,000) | California's Largest FBI Raid Ever As Mexican Mafia Empire Falls (489,000)</t>
  </si>
  <si>
    <t xml:space="preserve">Théâtre Pêche Sucrée</t>
  </si>
  <si>
    <t xml:space="preserve">movies</t>
  </si>
  <si>
    <t xml:space="preserve">drama</t>
  </si>
  <si>
    <t xml:space="preserve">Ils entendent les pensées de leur belle-fille… et découvrent qu’elle peut prédire tous les dangers ! (337,000) | Rejected by her real father, she becomes the beloved daughter of the richest man and brings good ... (148,000) | Renaît en héritière mal-aimée, sa famille entend ses pensées et démasque la fille adoptive ! (138,000) | Tous méprisaient cette grosse fille ! Mais sa force incroyable sauve 5 enfants… ceux du PDG ! (132,000)</t>
  </si>
  <si>
    <t xml:space="preserve">SovCit Justice</t>
  </si>
  <si>
    <t xml:space="preserve">COURTREACT</t>
  </si>
  <si>
    <t xml:space="preserve">Mahkeme salonu tepkileri (sovcit, hüküm)</t>
  </si>
  <si>
    <t xml:space="preserve">Cocky Teen Thinks She's Getting a Plea Deal... Gets a MASSIVE Reality Check! (2,000,000) | Sovereign Citizen REFUSES To Answer The Judge… Gets SENT STRAIGHT TO JAIL! (131,000) | Sovereign Citizen Pulls a “Fake Identity” Trick on the Judge… Gets a MASSIVE Reality Check! (114,000) | Sovereign Citizen Says He’s “Outside the Law”—Judge Delivers a BRUTAL Reality Check! (98,000)</t>
  </si>
  <si>
    <t xml:space="preserve">The Crown Unspoken</t>
  </si>
  <si>
    <t xml:space="preserve">ROYALS</t>
  </si>
  <si>
    <t xml:space="preserve">Kraliyet ailesi (çoğu clickbait)</t>
  </si>
  <si>
    <t xml:space="preserve">GB</t>
  </si>
  <si>
    <t xml:space="preserve">royalty</t>
  </si>
  <si>
    <t xml:space="preserve">2026-08-07</t>
  </si>
  <si>
    <t xml:space="preserve">Royal Family in Shock: Archie &amp; Lilibet’s Birth Records Exposed—Harry Left Reeling! (230,000) | MEGHAN REELS! Her First Husband Speaks Out—Shocking Truth About Archie Leaves Britain in Uproar?! (147,000) | A BOMBSHELL REVELATION!? Archie &amp; Lilibet’s Birth Mystery Takes a Shocking Turn (120,000) | Sussexes Panic: Archie &amp; Lilibet Removed from Succession? #ArchieHarrison #SussexFamily (60,000)</t>
  </si>
  <si>
    <t xml:space="preserve">Overengineered</t>
  </si>
  <si>
    <t xml:space="preserve">MEGAPROJ</t>
  </si>
  <si>
    <t xml:space="preserve">Mühendislik / mega proje / tehlikeli bilim</t>
  </si>
  <si>
    <t xml:space="preserve">engineering</t>
  </si>
  <si>
    <t xml:space="preserve">The 400 km Wall Japan Built to Stop the Sea (4,300,000) | How Egypt Is Digging a 310 km River Into the Sahara Desert (286,000) | Nepal Flood Explained: How a Glacier Became a Wall of Water (222,000) | How South Korea Built a 33 km Wall to Steal Land From the Sea (133,000)</t>
  </si>
  <si>
    <t xml:space="preserve">Cold Line</t>
  </si>
  <si>
    <t xml:space="preserve">INTERROG</t>
  </si>
  <si>
    <t xml:space="preserve">Sorgu odası / 'polisin yakalayacağından habersiz'</t>
  </si>
  <si>
    <t xml:space="preserve">SK</t>
  </si>
  <si>
    <t xml:space="preserve">“Friendly” Grandpa Has No Idea Police Just Exposed His Dark Secret (1,100,000) | 70-Year-Old Grandma Has No Idea Police Are About to Arrest Her for Murder After 22 Years (643,000) | Police Hunt Down 17-Year-Old Killers After Horrific Murder Plot (114,000) | Evil Son Killed His Mother &amp; Thought He’d Get Away With It (44,000)</t>
  </si>
  <si>
    <t xml:space="preserve">Only Interrogations</t>
  </si>
  <si>
    <t xml:space="preserve">CA</t>
  </si>
  <si>
    <t xml:space="preserve">interview</t>
  </si>
  <si>
    <t xml:space="preserve">Dumb Killer Denies Video Evidence Of Her, Thinks Cops Believe Her (They Don't) (486,000) | Idiot Killer Thinks He's Helping The Police, Gets Mad When They Won't Let Him Leave (234,000) | Narcissistic Teen Kills Neighbour, Thinks He's Too Young For Jail (179,000) | Entitled Ex Panics When She Realizes She Won't Get Custody Of Her Kids (138,000)</t>
  </si>
  <si>
    <t xml:space="preserve">Patriarch's Echo</t>
  </si>
  <si>
    <t xml:space="preserve">family</t>
  </si>
  <si>
    <t xml:space="preserve">“YOU’RE NOT IMPORTANT ENOUGH!” My Daughter’s Fiancé’s Father Said—Then I Canceled His Deal… (259,000) | My Daughter’s Future MIL Handed Me the $3,200 Bill—Then the Waiter Said, “Come With Me.” (216,000) | “CANCEL THE WEDDING!” My Daughter’s In-Laws Banned Me—They Didn’t Know What I Owned… (168,000) | “Get Out of My House!” My Daughter-in-Law Told My Wife—Then 30 People Stood Up (148,000)</t>
  </si>
  <si>
    <t xml:space="preserve">Clear Horizon</t>
  </si>
  <si>
    <t xml:space="preserve">DEBATE</t>
  </si>
  <si>
    <t xml:space="preserve">Tartışma klipleri (din/kültür savaşı)</t>
  </si>
  <si>
    <t xml:space="preserve">religion</t>
  </si>
  <si>
    <t xml:space="preserve">2026-09-22</t>
  </si>
  <si>
    <t xml:space="preserve">Islamist Starts CRYING After Christian Student CRUSHES Islam (1,900,000) | Islamist Debater Throws TANTRUM After Douglas Murray EXPOSES Islam (171,000) | Muslim Heckler THROWS TANTRUM After Milo Yiannopoulos Brutally HUMILIATES ISLAM With Facts (7,200)</t>
  </si>
  <si>
    <t xml:space="preserve">Airspeed</t>
  </si>
  <si>
    <t xml:space="preserve">AVIATION</t>
  </si>
  <si>
    <t xml:space="preserve">Havacılık tarihi / kişisel uçak</t>
  </si>
  <si>
    <t xml:space="preserve">aviation</t>
  </si>
  <si>
    <t xml:space="preserve">Why Did the Spirit of St. Louis Have No Front Window? (1,800,000) | Why the Boeing 377 Failed (607,000) | Why Did America Build a Fighter with Two Cockpits? (480,000) | The Plane That First Broke the Sound Barrier (479,000)</t>
  </si>
  <si>
    <t xml:space="preserve">Duke Family Tales</t>
  </si>
  <si>
    <t xml:space="preserve">DUKE</t>
  </si>
  <si>
    <t xml:space="preserve">Tarihi aşk AI hikaye (Dük, çiftçi, kovboy)</t>
  </si>
  <si>
    <t xml:space="preserve">“Tell Him I’m Your Daughter,” the Little Girl Begged the Duke — Then He Saw Who Was Chasing Her (116,000) | No One Had Sat Beside the Duke in 6 Years—Until a Little Girl Took the Empty Seat (87,000) | The Maid’s Little Girl Found the Duke Asleep—What She Did Changed Him Forever (52,000) | The Maid’s Little Girl Sang to the Comatose Duke—Then He Woke Up Asking for Her (30,000)</t>
  </si>
  <si>
    <t xml:space="preserve">The Fatal Board</t>
  </si>
  <si>
    <t xml:space="preserve">IT</t>
  </si>
  <si>
    <t xml:space="preserve">The Fascinating Story of Garmin: The $7 Billion GPS Empire That Outsmarted Google Maps (468,000) | The Tragic End of Iomega: The $7 Billion Zip Drive Giant That Ruled PC Storage Then Destroyed Itself (372,000) | The Rise and Fall of TomTom: The $6 Billion GPS Giant That Ruled Every Car, Then Lost to Google Maps (316,000) | The Rise and Fall of ATI: The Toronto Company That Beat NVIDIA to Every PC, Then Lost to AMD (147,000)</t>
  </si>
  <si>
    <t xml:space="preserve">The Quiet Record</t>
  </si>
  <si>
    <t xml:space="preserve">They Saw a 115-Foot Megalodon Off Australia — And Refused to Return to Sea (668,000) | A Coast Guard Diver Surfaced White as a Sheet in 1991 (550,000) | The Real Reason Megalodon May Never Have Left the Deep — And Where It Would Hide (397,000) | The Navy Pulled Claws Out of the USS Stein in 1978  - The Last Man Who Kept It Finally Speaks (151,000)</t>
  </si>
  <si>
    <t xml:space="preserve">Supermercado al Descubierto</t>
  </si>
  <si>
    <t xml:space="preserve">BRANDBUY</t>
  </si>
  <si>
    <t xml:space="preserve">'Alma: bu markalar sahte/iyi olanlar'</t>
  </si>
  <si>
    <t xml:space="preserve">retail business</t>
  </si>
  <si>
    <t xml:space="preserve">20 Foods You Will Never Buy Again After Finding Out How They Are Made (1,400,000) | 7 Marcas de AGUA que Solo la Gente TONTA Compra (630,000) | AVOID These 7 RICE Brands (Only 4 Are Safe) (625,000) | 15 Foods You Need to Stockpile Before 2026 Ends (257,000)</t>
  </si>
  <si>
    <t xml:space="preserve">SOLO REVENGE</t>
  </si>
  <si>
    <t xml:space="preserve">My Son Bought Me A $685,000 House. Her Parents Moved Into It And I Slept In My Car |Solo Revenge (314,000) | My Daughter's Future Father-In-Law Humiliated Me For 3 Hours. I Outrank Him By...|Solo Revenge (160,000) | After I Signed $6 Million To My Kids, My Wife Said They Weren't Mine - And They Already Knew... (114,000) | I Raised My 3 Stepkids For 25 Years.Then Their Real Father Came Back &amp; Took Everything|Solo Revenge (100,000)</t>
  </si>
  <si>
    <t xml:space="preserve">Military Blue</t>
  </si>
  <si>
    <t xml:space="preserve">Ukraine Waited for Russian Ammunition Convoy to Cross a Narrow Bridge — Then BLEW It Up (978,000) | Ukraine Waited for Russian Fighter Reinforcements to Reach Crimea — Then Blew Them Up (698,000) | Ukraine Waited for Russia’s Military Convoy Bound for Crimea to Enter the Marshlands—Then Blew It Up (662,000) | Ukraine Waited for Russia’s Military Supply Train to Enter Crimea — Then Blew It Up (598,000)</t>
  </si>
  <si>
    <t xml:space="preserve">AI Drama World TV 🎬</t>
  </si>
  <si>
    <t xml:space="preserve">youtube faceless / tiktok pages</t>
  </si>
  <si>
    <t xml:space="preserve">Reborn into famine, she unlocks a space linking her to a modern market—survival gets easy! (148,000) | Exiled to the frontier, she farms her way from a disgraced wife to a legendary general’s mother. (134,000) | Exiled to the frontier, she transforms barren land—and raises a legendary war god. (108,000) | On the day of her divorce, an apocalypse boss unlocks a magical space—and a new destiny. (102,000)</t>
  </si>
  <si>
    <t xml:space="preserve">Paz en el Tao</t>
  </si>
  <si>
    <t xml:space="preserve">spirituality</t>
  </si>
  <si>
    <t xml:space="preserve">The Law of Reversed Effort to Attract EVERYTHING: Lao Tzu (2,600,000) | The Simple Path Nobody Follows to Get Your Life in Order | Lao Tzu (377,000) | Calm Makes You Act As If You Already Had EVERYTHING You Desire (366,000) | 7 Taoist Affirmations You MUST Tell Yourself Every Morning Upon Waking To Change Your Day (353,000)</t>
  </si>
  <si>
    <t xml:space="preserve">DOMINVORA</t>
  </si>
  <si>
    <t xml:space="preserve">psychology</t>
  </si>
  <si>
    <t xml:space="preserve">2026-09-09</t>
  </si>
  <si>
    <t xml:space="preserve">Women Don't Care What You Do For Them... They Are Loyal to One Thing Only! | Robert Greene (623,000) | How to Make a Woman Choose You, Even If She Has Many Options | Robert Greene Motivational Speech (144,000) | NO CONTACT Is Not Enough | Do THIS to Crush Her Ego | Robert Greene Motivational Speech (43,000) | Women Don't Care What You Do For Them... Value One Thing Only | Robert Greene Motivational Speech (25,000)</t>
  </si>
  <si>
    <t xml:space="preserve">Misterios Retro</t>
  </si>
  <si>
    <t xml:space="preserve">BR</t>
  </si>
  <si>
    <t xml:space="preserve">El Final de Thundercats (1985) Que Nadie Recuerda (1,200,000) | The Mazinger Z Ending (1978) That No One Remembers (458,000) | ThunderCats: The Ending TV Didn't Dare Air (229,000) | The He-Man Finale (1983) That No One Remembers (203,000)</t>
  </si>
  <si>
    <t xml:space="preserve">FateThread AI Anime</t>
  </si>
  <si>
    <r>
      <rPr>
        <sz val="10"/>
        <rFont val="WenQuanYi Zen Hei"/>
        <family val="2"/>
      </rPr>
      <t xml:space="preserve">【</t>
    </r>
    <r>
      <rPr>
        <sz val="10"/>
        <rFont val="Arial"/>
        <family val="0"/>
        <charset val="1"/>
      </rPr>
      <t xml:space="preserve">ENG DUB</t>
    </r>
    <r>
      <rPr>
        <sz val="10"/>
        <rFont val="WenQuanYi Zen Hei"/>
        <family val="2"/>
      </rPr>
      <t xml:space="preserve">】💖</t>
    </r>
    <r>
      <rPr>
        <sz val="10"/>
        <rFont val="Arial"/>
        <family val="0"/>
        <charset val="1"/>
      </rPr>
      <t xml:space="preserve">Accidentally Marked the Beastman President, Now He Won't Let Me Go (148,000) | </t>
    </r>
    <r>
      <rPr>
        <sz val="10"/>
        <rFont val="WenQuanYi Zen Hei"/>
        <family val="2"/>
      </rPr>
      <t xml:space="preserve">【</t>
    </r>
    <r>
      <rPr>
        <sz val="10"/>
        <rFont val="Arial"/>
        <family val="0"/>
        <charset val="1"/>
      </rPr>
      <t xml:space="preserve">ENG DUB</t>
    </r>
    <r>
      <rPr>
        <sz val="10"/>
        <rFont val="WenQuanYi Zen Hei"/>
        <family val="2"/>
      </rPr>
      <t xml:space="preserve">】💖</t>
    </r>
    <r>
      <rPr>
        <sz val="10"/>
        <rFont val="Arial"/>
        <family val="0"/>
        <charset val="1"/>
      </rPr>
      <t xml:space="preserve">Sweet Little Rabbit But Actually a Top-Tier Tease,Changed Fate by Conquering the MaleLeads (142,000) | </t>
    </r>
    <r>
      <rPr>
        <sz val="10"/>
        <rFont val="WenQuanYi Zen Hei"/>
        <family val="2"/>
      </rPr>
      <t xml:space="preserve">【</t>
    </r>
    <r>
      <rPr>
        <sz val="10"/>
        <rFont val="Arial"/>
        <family val="0"/>
        <charset val="1"/>
      </rPr>
      <t xml:space="preserve">ENG DUB</t>
    </r>
    <r>
      <rPr>
        <sz val="10"/>
        <rFont val="WenQuanYi Zen Hei"/>
        <family val="2"/>
      </rPr>
      <t xml:space="preserve">】💖</t>
    </r>
    <r>
      <rPr>
        <sz val="10"/>
        <rFont val="Arial"/>
        <family val="0"/>
        <charset val="1"/>
      </rPr>
      <t xml:space="preserve">Transmigrated And Unmasked: The Obsessive Male Lead Loves Me Anyway, Mutual Devotion (127,000) | </t>
    </r>
    <r>
      <rPr>
        <sz val="10"/>
        <rFont val="WenQuanYi Zen Hei"/>
        <family val="2"/>
      </rPr>
      <t xml:space="preserve">【</t>
    </r>
    <r>
      <rPr>
        <sz val="10"/>
        <rFont val="Arial"/>
        <family val="0"/>
        <charset val="1"/>
      </rPr>
      <t xml:space="preserve">ENG DUB</t>
    </r>
    <r>
      <rPr>
        <sz val="10"/>
        <rFont val="WenQuanYi Zen Hei"/>
        <family val="2"/>
      </rPr>
      <t xml:space="preserve">】💖</t>
    </r>
    <r>
      <rPr>
        <sz val="10"/>
        <rFont val="Arial"/>
        <family val="0"/>
        <charset val="1"/>
      </rPr>
      <t xml:space="preserve">Transmigrated to the Stars, Spoiled by Seven Beastmen Big Shots (92,000)</t>
    </r>
  </si>
  <si>
    <t xml:space="preserve">Mundo de Aves</t>
  </si>
  <si>
    <t xml:space="preserve">2026-06-06</t>
  </si>
  <si>
    <t xml:space="preserve">Halcón Peregrino Ciclo de vida: Del huevo al cazador del cielo a más de 300 km/h (5,800,000) | Frailecillo Atlántico Ciclo de vida: Del huevo al peligroso viaje hacia el océano (1,400,000) | Halcón Peregrino: Un Día Al Borde Del Abismo, Cazando A Más De 300 km/h Para Salvar A Sus Crías (1,100,000) | Cucal Grande Ciclo de vida: Una lucha por sobrevivir desde el primer día (1,000,000)</t>
  </si>
  <si>
    <t xml:space="preserve">The Greatest Graves</t>
  </si>
  <si>
    <t xml:space="preserve">GRAVES</t>
  </si>
  <si>
    <t xml:space="preserve">Ünlülerin mezarları / son evleri</t>
  </si>
  <si>
    <t xml:space="preserve">The Most Heartbreaking Open-Casket Moments of Famous Icons (317,000) | The Tragic Graves Of Child Stars Who Were Murdered (284,000) | Graves of America's Most Infamous Outlaws (258,000) | The Most Stunning Graves of Royal Family Members (182,000)</t>
  </si>
  <si>
    <t xml:space="preserve">Mordoze</t>
  </si>
  <si>
    <t xml:space="preserve">myths and folktales</t>
  </si>
  <si>
    <t xml:space="preserve">The Lore of the Nameless Things is HORRIFYING (237,000) | 3 Hours Of LOTR Lore To Fall Asleep To (223,000) | Fall Asleep To The Entire History Of Middle Earth (198,000) | The Entire Story Of Melkor (Morgoth) To Fall Asleep To (71,000)</t>
  </si>
  <si>
    <t xml:space="preserve">When America Made Everything</t>
  </si>
  <si>
    <t xml:space="preserve">NOSTALGIA</t>
  </si>
  <si>
    <t xml:space="preserve">'1960'larda her X'te olan 25 şey' (Lost American ağı)</t>
  </si>
  <si>
    <t xml:space="preserve">30 American Companies That Made Products That Lasted 50 Years — Then Vanished (426,000) | 30 American Factories That Once Employed Entire Towns — Now Gone Forever (175,000) | 25 Detroit Factories That Built America's Middle Class — Then Went Silent (111,000) | 25 MADE IN USA Brands Every American Family Trusted Before They Disappeared (86,000)</t>
  </si>
  <si>
    <t xml:space="preserve">Fired Carl</t>
  </si>
  <si>
    <t xml:space="preserve">major companies</t>
  </si>
  <si>
    <t xml:space="preserve">Dollar General Just Got Caught... Americans Knew Something Was Wrong (640,000) | Amazon Just Got Caught… Americans Knew Something Was Wrong (462,000) | Millions of Americans LOSE Everything on Facebook Marketplace — And No One Is Stopping It (332,000) | McDonald’s Just Got Caught... Americans Knew Something Was Wrong (327,000)</t>
  </si>
  <si>
    <t xml:space="preserve">Nagorik Multimedia Group</t>
  </si>
  <si>
    <t xml:space="preserve">ABC 20/20 New 2026 🍀🍀🍀 The Secret Behind Their Perfect Marriage🍀🍀🍀ABC 20/20 Season 2026 Full Episode (476,000) | ABC 20/20 New 2026 🍀🍀🍀 The Secret Behind Their Young Love 🍀🍀🍀ABC 20/20 Season 2026 Full Episode (160,000) | ABC 20/20 New 2026 🍀🍀🍀The Night Their Perfect Love Fell Apart 🍀🍀🍀ABC 20/20 Season 2026 Full Episode (155,000) | ABC 20/20 New 2026 🍀🍀🍀 S49E02 The Deadly House🍀🍀🍀ABC 20/20 Season 2026 Full Episode (109,000)</t>
  </si>
  <si>
    <t xml:space="preserve">Atlas One</t>
  </si>
  <si>
    <t xml:space="preserve">ODDSTORY</t>
  </si>
  <si>
    <t xml:space="preserve">Gerçek hayatta kalma / inanılmaz gerçek hikayeler / listeler</t>
  </si>
  <si>
    <t xml:space="preserve">NL</t>
  </si>
  <si>
    <t xml:space="preserve">They Were Left On An Island For 15 Years: True Survival Story (2,200,000) | Two Men Survived 2 Years in the Desert: True Survival Story (361,000) | 133 Days Alone in the Atlantic Ocean: The Incredible True Survival Story (294,000) | How A Man Survived 3 Days Trapped Inside A Sunken Ship (132,000)</t>
  </si>
  <si>
    <t xml:space="preserve">Yogiri Recap</t>
  </si>
  <si>
    <t xml:space="preserve">MANHWA</t>
  </si>
  <si>
    <t xml:space="preserve">Manhwa/anime özetleri</t>
  </si>
  <si>
    <t xml:space="preserve">anime</t>
  </si>
  <si>
    <t xml:space="preserve">My Sisters Ignored Me for 10 Years... Until They Could Hear Every Thought I Had About Them! (832,000) | I Was Reborn, and I Refuse to Love My Cold-Hearted Wife Again | Manhwa Recap (555,000) | I Was Just Playing Ring Toss, Then I Accidentally Won the School Beauty | Manhwa Recap (373,000) | His Aunt Tried to Kill Him, Then an Entire Army Came for Revenge | Manhwa Recap (370,000)</t>
  </si>
  <si>
    <t xml:space="preserve">CaseWatch Central</t>
  </si>
  <si>
    <t xml:space="preserve">LIVECASE</t>
  </si>
  <si>
    <t xml:space="preserve">Güncel dava takibi (Nolan Wells, Christa Pike)</t>
  </si>
  <si>
    <t xml:space="preserve">Christa Pike REJECTS Lethal Injection — Then Tennessee Makes a SHOCKING Move (496,000) | Christa Pike’s Final Hope COLLAPSES — Then Colleen’s Mother Makes a Chilling Promise (213,000) | NOLAN WELLS: "I Saw What They Did..." Witness Drops BOMBSHELL After Escorting Mom to Coroner (206,000) | Christa Pike’s LAST Interview Before Botched Execution — “I Took the Blame for THREE People” (170,000)</t>
  </si>
  <si>
    <t xml:space="preserve">Stringer Movies</t>
  </si>
  <si>
    <t xml:space="preserve">LOCALHIST</t>
  </si>
  <si>
    <t xml:space="preserve">Eyalet/şehir/semt tarihi, terk edilmiş yerler</t>
  </si>
  <si>
    <t xml:space="preserve">I Found Something So Disturbing in This Abandoned House, I Had to Call the FBI (238,000) | They Left an Entire Commercial Airplane Behind: Exploring an Abandoned Airport (137,000) | We Found a Billionaire's Ghost Mansion Abandoned with Millions Worth Of Stuff... (136,000) | I Investigated the Town Jeffrey Epstein Left Behind (127,000)</t>
  </si>
  <si>
    <t xml:space="preserve">Iconic Times</t>
  </si>
  <si>
    <t xml:space="preserve">celebrity</t>
  </si>
  <si>
    <t xml:space="preserve">Dolly Parton’s Family STUNNED as Lawyers Reveal Who Gets What She Never Gave Them! (457,000) | Cher STUNS The Entire World With Powerful Tribute To Dolly Parton (280,000) | What Really Killed Dolly Parton Wasn't Cancer (127,000) | Dolly Parton's Funeral, Miley Cyrus STUNS The Entire World With Powerful Tribute! (110,000)</t>
  </si>
  <si>
    <t xml:space="preserve">Money Life POV</t>
  </si>
  <si>
    <t xml:space="preserve">personal finance</t>
  </si>
  <si>
    <t xml:space="preserve">POV: You Became the Rich Friend — Then Things Got Awkward (350,000) | POV: You Stop Chasing Status and Start Living Like Old Money (338,000) | POV: You Pay Off Your House While Everyone Else Still Has a Mortgage (245,000) | POV: You Keep the Same Car for 10 Years While Everyone Else Upgrades (226,000)</t>
  </si>
  <si>
    <t xml:space="preserve">Paint Maniac</t>
  </si>
  <si>
    <t xml:space="preserve">EXPLAINED</t>
  </si>
  <si>
    <t xml:space="preserve">'Her şey açıklandı' / iceberg / mitler / matematik</t>
  </si>
  <si>
    <t xml:space="preserve">internet culture</t>
  </si>
  <si>
    <t xml:space="preserve">The Disturbing Audio Recordings Explained (755,000) | Every Dark Web Mystery Explained (658,000) | Every Meme With a Horrific Backstory Explained (473,000) | 1 Hour of Internet Horrors (466,000)</t>
  </si>
  <si>
    <t xml:space="preserve">Inside The Maker</t>
  </si>
  <si>
    <t xml:space="preserve">FACTORY</t>
  </si>
  <si>
    <t xml:space="preserve">Fabrika üretim süreci</t>
  </si>
  <si>
    <t xml:space="preserve">How India Manufactures TRILLIONS of Rupees (RBI Secret)! 💸 (1,200,000) | Inside a High-Speed Hygiene Product Factory: Pure ASMR Sanitary Napkin Production Line (1,000,000) | The Billion-Dollar Whisky Factory Process! (Perfect Mechanical ASMR) (1,000,000) | How Samsung Galaxy Phones are REALLY Made! 📱 (Satisfying Factory ASMR) (959,000)</t>
  </si>
  <si>
    <t xml:space="preserve">Ohio Uncovered</t>
  </si>
  <si>
    <t xml:space="preserve">GE</t>
  </si>
  <si>
    <t xml:space="preserve">2026-09-08</t>
  </si>
  <si>
    <t xml:space="preserve">10 Places in Ohio the Mob Used to Control (426,000) | The Most Famous Person From Every Ohio County (181,000) | How Columbus's Old Money Built a Village of Mansions and Then Walled Itself In: Bexley (86,000) | Ohio's Most Redneck Towns (Yes, They Exist) (73,000)</t>
  </si>
  <si>
    <t xml:space="preserve">Sin Coordenadas</t>
  </si>
  <si>
    <t xml:space="preserve">CONGO | The Wildest and Most Dangerous Jungle Africa Keeps Hidden | 4K Documentary (2,600,000) | IRELAND: How People Survive on Europe’s Loneliest Coast | 4K Documentary (512,000) | KENYA | A Journey into the Most Dangerous and Hidden Heart of Africa | 4K Documentary (478,000) | THE DARIÉN GAP | The Most Dangerous Jungle That Man Has Never Been Able to Tame | 4k Documentary (362,000)</t>
  </si>
  <si>
    <t xml:space="preserve">Legends of Sport</t>
  </si>
  <si>
    <t xml:space="preserve">CELEB_ATAGE</t>
  </si>
  <si>
    <t xml:space="preserve">'72 yaşında nihayet sessizliğini bozdu'</t>
  </si>
  <si>
    <t xml:space="preserve">movie star news &amp; gossip</t>
  </si>
  <si>
    <t xml:space="preserve">At 72, Oprah Finally Breaks Silence on Stedman — The Real Reason She Never Married Him (426,000) | At 84, Barbra Streisand Breaks Her Silence on James Brolin—The Marriage That Took Her From Hollywood (153,000) | At 45, Serena Williams Finally Breaks Silence on Alexis Ohanian (135,000) | What Happened to Simone Biles at 29 – Try Not to CRY When You See This (109,000)</t>
  </si>
  <si>
    <t xml:space="preserve">Dr. Elias Senior Health</t>
  </si>
  <si>
    <t xml:space="preserve">NEVER Agree to This: 5 Deadly Surgeries for Seniors! (847,000) | Doctor Reveals: The #1 Best Fruit to Eat for Healthy Eyesight! (693,000) | What Time Should The Elderly Go to Bed After 70 For Better Health — Here's What Doctors Explain! (438,000) | If You Wake Up With Dry Mouth, Your Body Is Warning You! (Almost Nobody Knows This) (427,000)</t>
  </si>
  <si>
    <t xml:space="preserve">Midnight Vows Studio</t>
  </si>
  <si>
    <t xml:space="preserve">reality tv</t>
  </si>
  <si>
    <r>
      <rPr>
        <sz val="10"/>
        <rFont val="WenQuanYi Zen Hei"/>
        <family val="2"/>
      </rPr>
      <t xml:space="preserve">【</t>
    </r>
    <r>
      <rPr>
        <sz val="10"/>
        <rFont val="Arial"/>
        <family val="0"/>
        <charset val="1"/>
      </rPr>
      <t xml:space="preserve">Full</t>
    </r>
    <r>
      <rPr>
        <sz val="10"/>
        <rFont val="WenQuanYi Zen Hei"/>
        <family val="2"/>
      </rPr>
      <t xml:space="preserve">】 </t>
    </r>
    <r>
      <rPr>
        <sz val="10"/>
        <rFont val="Arial"/>
        <family val="0"/>
        <charset val="1"/>
      </rPr>
      <t xml:space="preserve">They sent their adopted daughter to prison—but never found out who her real family was. (973,000) | </t>
    </r>
    <r>
      <rPr>
        <sz val="10"/>
        <rFont val="WenQuanYi Zen Hei"/>
        <family val="2"/>
      </rPr>
      <t xml:space="preserve">【</t>
    </r>
    <r>
      <rPr>
        <sz val="10"/>
        <rFont val="Arial"/>
        <family val="0"/>
        <charset val="1"/>
      </rPr>
      <t xml:space="preserve">Full</t>
    </r>
    <r>
      <rPr>
        <sz val="10"/>
        <rFont val="WenQuanYi Zen Hei"/>
        <family val="2"/>
      </rPr>
      <t xml:space="preserve">】 </t>
    </r>
    <r>
      <rPr>
        <sz val="10"/>
        <rFont val="Arial"/>
        <family val="0"/>
        <charset val="1"/>
      </rPr>
      <t xml:space="preserve">He was sent to execute her — but when he saw her face — he couldn't pull the trigger (168,000)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His Son Threw Him Out—Then He Married a Secret Billionaire Overnight (149,000)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He Ignored His Wife for Seven Years, Then Found His World Empty Without Her (119,000)</t>
    </r>
  </si>
  <si>
    <t xml:space="preserve">StayAlert Interrogation</t>
  </si>
  <si>
    <t xml:space="preserve">crime interrogations</t>
  </si>
  <si>
    <t xml:space="preserve">Killer Grandma Throws 2 Year Old From Mall Walkway—Then Says She Wanted Her Gone (403,000) | Predator Therapist Confesses to Assaulting 13 Year Old—Has No Idea She’s Being Recorded (295,000) | 23 Y/O Killer Grabs for Cop’s Gun Inside Interrogation Room—Instantly Regrets It (210,000) | Killer Mom Poisons 17 Month Old Baby With Fentanyl—Thinks She’s Going Home (She Can’t) (119,000)</t>
  </si>
  <si>
    <t xml:space="preserve">Old American Empires</t>
  </si>
  <si>
    <t xml:space="preserve">Why Nobody Wants to Eat at Golden Corral Anymore (411,000) | The Rise and Fall of America's Seafood Empire: Long John Silver's (238,000) | The Rise and Fall of America's Forgotten Pie Empire: Marie Callender's (130,000) | The Rise &amp; Fall of America's Forgotten Steakhouse Empire: Ponderosa (102,000)</t>
  </si>
  <si>
    <t xml:space="preserve">Graceborn Wisdom</t>
  </si>
  <si>
    <t xml:space="preserve">PRAYER</t>
  </si>
  <si>
    <t xml:space="preserve">Günlük dua / tespih / motivasyon vaazı</t>
  </si>
  <si>
    <t xml:space="preserve">AU</t>
  </si>
  <si>
    <t xml:space="preserve">HIGH COMMAND HAS EYES ON YOU—YOUR PROTECTION IS NON NEGOTIABLE 🛰️🛡️ (14,000) | CHOSEN ONES, THE STREETS AND THE FBI KNOW YOU NOW—THE FEARLESS TRUTH TELLER &amp; UNBREAKABLE PROTEC (10,000) | CHOSEN ONES, SECRET MEETING ABOUT YOU EXPOSED—THEIR CRIMES WERE OVERHEARD AND REPORTED TO POLICE (9,700) | CHOSEN ONES, EVIDENCE DISCOVERED IN THEIR PHONE ☎️ THEIR LIES ARE EXPOSED—NOW THEY'RE FINISHED! (9,400)</t>
  </si>
  <si>
    <t xml:space="preserve">The Domino Effect</t>
  </si>
  <si>
    <t xml:space="preserve">Ukraine's GENIUS Move Is Turning Russians Against Putin (921,000) | Ukraine Is Pulling Off Something Impossible In Crimea (756,000) | Wait... Is Russia Actually about to Collapse?! (558,000) | Russia’s Succession War BEGINS… Game of Thrones, SOVIET-STYLE (529,000)</t>
  </si>
  <si>
    <t xml:space="preserve">Bloubi</t>
  </si>
  <si>
    <t xml:space="preserve">minecraft, gaming, youtube challenge videos</t>
  </si>
  <si>
    <t xml:space="preserve">On a BRISÉ notre amitié à cause de ce Combat de Mobs sur Minecraft (72,000) | BEATING MINECRAFT BUT MOBS HAVE GUNS (it's impossible...) (9,100) | GAGNER en BUILD BATTLE mais SEULEMENT avec El Primo (on est nul…) (8,600) | I tried to beat Minecraft as Mario (it's impossible...) (6,400)</t>
  </si>
  <si>
    <t xml:space="preserve">Bodycam C4</t>
  </si>
  <si>
    <t xml:space="preserve">2026-09-27</t>
  </si>
  <si>
    <t xml:space="preserve">Predator Police Officer Realizes He's Doing 65 Years In Prison After Phone Search (1,400,000) | High IQ Shoplifters Use TinFoil to ByPass Security Alarm l Bodycam Analysis (476,000) | Woman Attacks BF on Airplane After Finding Out He Cheated l Airport Bodycam Analysis (220,000) | Entitled Woman Chases Airplane Because She Missed Her Flight I Airport Bodycam Analysis (70,000)</t>
  </si>
  <si>
    <t xml:space="preserve">ClashIQ</t>
  </si>
  <si>
    <t xml:space="preserve">activism</t>
  </si>
  <si>
    <t xml:space="preserve">2026-07-07</t>
  </si>
  <si>
    <t xml:space="preserve">Jordan Peterson FORCES Feminist To Define "Toxic Masculinity" — She COMPLETELY Falls Apart (2,200,000) | Nobody Has Ever SHUT DOWN The Trans Argument On LIVE TV Like Candace Owens Did To Marc Lamont Hill (1,600,000) | Piers Morgan Puts Trans Activist On The SPOT &amp; She CANNOT Answer One Simple Question On Live TV (1,200,000) | Nobody Has Ever DISMANTLED Feminist Logic On LIVE TV Like Andrew Wilson Did To This Entire Panel (957,000)</t>
  </si>
  <si>
    <t xml:space="preserve">Modo Aparte</t>
  </si>
  <si>
    <t xml:space="preserve">nutrition</t>
  </si>
  <si>
    <t xml:space="preserve">The 10 WORST Sardine Brands According to Profeco (And 3 That Actually Deliver) (865,000) | Las 4 PEORES Marcas de Harina de Trigo en México (Y las 3 que SÍ Vale la Pena Comprar) (477,000) | Los 5 PEORES Jabones de Baño Según Profeco (Y 5 Que SÍ Pasaron el Laboratorio) (371,000) | The 9 WORST Olive Oil Brands Sold at the Supermarket (And 4 That Are Actually Pure) (234,000)</t>
  </si>
  <si>
    <t xml:space="preserve">Mack</t>
  </si>
  <si>
    <t xml:space="preserve">When Did Ancient Humans Start Smoking? (1,700,000) | Why Ancient Humans Went From Black to White? (1,100,000) | Why Did Ancient Humans Start Wearing Clothes? (992,000) | Do Wild Animals Know When a Human Is Helping Them? (809,000)</t>
  </si>
  <si>
    <t xml:space="preserve">Drive Standard</t>
  </si>
  <si>
    <t xml:space="preserve">automotive business</t>
  </si>
  <si>
    <t xml:space="preserve">10 Car Brands That Are Collapsing (Avoid them in 2026) (921,000) | 11 SUVs That NEVER Break Down — Buy Once, Drive FOREVER! (434,000) | Nobody Wants These 15 Trucks (Even at $15,000 OFF) (378,000) | 10 Car Brands Going Out of Business — 2 Already Shut Down (163,000)</t>
  </si>
  <si>
    <t xml:space="preserve">Abr Media</t>
  </si>
  <si>
    <t xml:space="preserve">tech</t>
  </si>
  <si>
    <t xml:space="preserve">Inside Elon Musk’s $119B TERAFAB — Nothing Like This Exists (795,000) | The Giant Robot Submarine the US Navy Just Took Delivery Of (8,000) | America’s Flying Taxis Are Shocking Everyone! (7,400) | America's New Invention Could Replace Air Conditioners Forever (6,100)</t>
  </si>
  <si>
    <t xml:space="preserve">Imperios del Sonido</t>
  </si>
  <si>
    <t xml:space="preserve">The Tragic History of Philips: How the Company That Invented the CD Quietly Gave Up on Sound (697,000) | The Tragic Story of the Trinitron: How Sony Invented the World's Best Screen... and Abandoned It (517,000) | The Tragic Story of JVC: How the Company That Invented VHS Lost IT ALL (359,000) | La Trágica Historia de Kenwood: Cómo el Imperio del Car Audio Japonés Terminó Vendido por Partes (345,000)</t>
  </si>
  <si>
    <t xml:space="preserve">Secret Hollywood</t>
  </si>
  <si>
    <t xml:space="preserve">Princess Diana’s Final Moments: French Firefighter Shares His Experience (893,000) | Elton John on Queen Camilla: Exploring Their Royal Connection (138,000) | Princess Diana’s Former Bodyguard Shares Memories of Her Final Years (95,000) | Elton John Finally Speaks About His Memories of Princess Diana (48,000)</t>
  </si>
  <si>
    <t xml:space="preserve">The Career Chronicles</t>
  </si>
  <si>
    <t xml:space="preserve">Five Minutes After Firing Me, My Boss Asked Me to Fix the Machine Before I Left (123,000) | I Signed My Layoff Papers That Morning and Walked Away—That Night, (74,000) | My Coworker Got a $180,000 Bonus. I Got 60 Cents—Then He Handed Me a Renewal Contract (60,000) | Senior Management Voted to Force Me Out. I Signed Without a Fight (58,000)</t>
  </si>
  <si>
    <t xml:space="preserve">Luna's Choice Shorts</t>
  </si>
  <si>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Beast Tamer: The Weakest Support Beast Ascends via Devouring. (2,600,000)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They Exiled Him as a Nobody, Not Knowing He Raised an Army of Divine Beasts (1,500,000)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He Returned Home With Hidden Powers—Now No One Can Touch His Family (373,000)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The Weakest Ore Beast Evolved Into A Deep Abyss Dragon With My SSS Metal Talent (364,000)</t>
    </r>
  </si>
  <si>
    <t xml:space="preserve">LoveDynasty Drama</t>
  </si>
  <si>
    <t xml:space="preserve">television</t>
  </si>
  <si>
    <t xml:space="preserve">She Loved Her Brother for 10 Years but Was Abandoned, Then Married the Prince and Became His Beloved (101,000) | She married a foolish prince, but he was a hidden powerhouse! Together they took revenge! 👑🔥 (97,000) | After Accidentally Attracting a Crazy Prince, She Became His Obsession! She Runs, He Chases! ❤️👑 (64,000) | The Prince Burns With Desire Watching Her Milk Flow—This Humble Wet Nurse Hides a Shocking Identity! (63,000)</t>
  </si>
  <si>
    <t xml:space="preserve">After the Crown</t>
  </si>
  <si>
    <t xml:space="preserve">AFTERCROWN</t>
  </si>
  <si>
    <t xml:space="preserve">'Devrilen liderin çocuklarına ne oldu'</t>
  </si>
  <si>
    <t xml:space="preserve">What Happened to Haile Selassie’s Children After He Was Overthrown? (614,000) | What Happened to the Mughal Princesses After the 1857 Rebellion? (353,000) | What Happened to Tipu Sultan’s Children After He Was Killed by the British? (339,000) | What Happened to the Ottoman Royal Family After Their Empire Fell? (304,000)</t>
  </si>
  <si>
    <t xml:space="preserve">What Used to Be</t>
  </si>
  <si>
    <t xml:space="preserve">Bell’s Amusement Park Was ABANDONED &amp; Left to ROT — The Tragic Fall of Tulsa’s Beloved Kingdom (165,000) | Libertyland Park Was ABANDONED &amp; Left to ROT — The Tragic fall of Memphis’ Forgotten Family Kingdom (160,000) | The Tragic End of the 1964 New York World's Fair | What Went Wrong? (156,000) | Peony Park Was ABANDONED &amp; Left to ROT — The Tragic Fall of Omaha’s Once-Mighty Amusement Kingdom (139,000)</t>
  </si>
  <si>
    <t xml:space="preserve">Next_Episode💕</t>
  </si>
  <si>
    <r>
      <rPr>
        <sz val="10"/>
        <rFont val="WenQuanYi Zen Hei"/>
        <family val="2"/>
      </rPr>
      <t xml:space="preserve">【</t>
    </r>
    <r>
      <rPr>
        <sz val="10"/>
        <rFont val="Arial"/>
        <family val="0"/>
        <charset val="1"/>
      </rPr>
      <t xml:space="preserve">AI Drama</t>
    </r>
    <r>
      <rPr>
        <sz val="10"/>
        <rFont val="WenQuanYi Zen Hei"/>
        <family val="2"/>
      </rPr>
      <t xml:space="preserve">】</t>
    </r>
    <r>
      <rPr>
        <sz val="10"/>
        <rFont val="Arial"/>
        <family val="0"/>
        <charset val="1"/>
      </rPr>
      <t xml:space="preserve">I Died Becoming the Perfect Wife—And That Was My Final Revenge#dramas (525,000) | </t>
    </r>
    <r>
      <rPr>
        <sz val="10"/>
        <rFont val="WenQuanYi Zen Hei"/>
        <family val="2"/>
      </rPr>
      <t xml:space="preserve">【</t>
    </r>
    <r>
      <rPr>
        <sz val="10"/>
        <rFont val="Arial"/>
        <family val="0"/>
        <charset val="1"/>
      </rPr>
      <t xml:space="preserve">AI Drama</t>
    </r>
    <r>
      <rPr>
        <sz val="10"/>
        <rFont val="WenQuanYi Zen Hei"/>
        <family val="2"/>
      </rPr>
      <t xml:space="preserve">】</t>
    </r>
    <r>
      <rPr>
        <sz val="10"/>
        <rFont val="Arial"/>
        <family val="0"/>
        <charset val="1"/>
      </rPr>
      <t xml:space="preserve">On My Second Life, I Rejected Apollo and Chose the God They Feared#dramas (392,000) | </t>
    </r>
    <r>
      <rPr>
        <sz val="10"/>
        <rFont val="WenQuanYi Zen Hei"/>
        <family val="2"/>
      </rPr>
      <t xml:space="preserve">【</t>
    </r>
    <r>
      <rPr>
        <sz val="10"/>
        <rFont val="Arial"/>
        <family val="0"/>
        <charset val="1"/>
      </rPr>
      <t xml:space="preserve">AI Drama</t>
    </r>
    <r>
      <rPr>
        <sz val="10"/>
        <rFont val="WenQuanYi Zen Hei"/>
        <family val="2"/>
      </rPr>
      <t xml:space="preserve">】</t>
    </r>
    <r>
      <rPr>
        <sz val="10"/>
        <rFont val="Arial"/>
        <family val="0"/>
        <charset val="1"/>
      </rPr>
      <t xml:space="preserve">I Loved Him for 10 Years—Then I Heard What He Really Thought of Me#dramas (312,000) | He Humiliated His Mafia Queen While She Carried His Baby, So She Walked Away Forever#drama (278,000)</t>
    </r>
  </si>
  <si>
    <t xml:space="preserve">Consumer Truth</t>
  </si>
  <si>
    <t xml:space="preserve">Whole Foods Just Did What No Grocery Store Would (355,000) | Trader Joe’s Just Did What No Grocery Store Would (276,000) | We Tested Eggs From Costco, Walmart, Kroger, Aldi &amp; 8 More American Grocery Stores Most Failed (173,000) | We Tested Beef From Walmart, Costco, Target, Aldi &amp; 10 More US Stores (159,000)</t>
  </si>
  <si>
    <t xml:space="preserve">Wildlife Wonders 4K</t>
  </si>
  <si>
    <t xml:space="preserve">The Deep Ocean: Secrets Hidden Beneath the Blue Planet (103,000) | THE DEEP PACIFIC: What Lies Beneath the World’s Largest Ocean? (86,000) | Ocean Giants : The Massive Creatures Moving Through the Deep Pacific (78,000) | The Deep Ocean: A World More Alien Than Space (65,000)</t>
  </si>
  <si>
    <t xml:space="preserve">The Clark Update</t>
  </si>
  <si>
    <t xml:space="preserve">wnba basketball</t>
  </si>
  <si>
    <t xml:space="preserve">Joe Rogan DESTROYS WNBA After HIDING BRITTNEY GRINER’S DIRTY SECRET! Cunningham Was RIGHT! (420,000) | TEAM USA ERUPTS AS Larry Bird DESTROYS Kara Lawson After Caitlin Clark Sabotage! — THIS IS HUGE! (271,000) | Britney Griner BREAKS DOWN as Matt Walsh EXPOSED His GENDER! — Sophie Cunningham Was RIGHT! (228,000) | BREAKING: WNBA IN PANIC After FANS BOYCOTT THE LEAGUE DUE TO Caitlin Clark INJURY! THIS IS HUGE! (199,000)</t>
  </si>
  <si>
    <t xml:space="preserve">Dark Tales of Britain</t>
  </si>
  <si>
    <t xml:space="preserve">Britain's Countryside Killers 2026 💢 Lost Innocence 💥UK Murder Documentary (71,000) | Britain's Countryside Killers 2026 💢 Behind the Mask 💥UK Murder Documentary (45,000) | Britain's Countryside Killers 2026 💢 Fatal Devotion💥UK Murder Documentary (44,000) | Britain's Countryside Killers 2026 💢 Last Seen 💥UK Murder Documentary (38,000)</t>
  </si>
  <si>
    <t xml:space="preserve">MenteQuiz</t>
  </si>
  <si>
    <t xml:space="preserve">puzzles</t>
  </si>
  <si>
    <t xml:space="preserve">challenge videos</t>
  </si>
  <si>
    <t xml:space="preserve">20 Riddles Where 99% Fail! Can You Solve Them? (726,000) | 15 Mystery Riddles That Will Test Your Brain! (571,000) | !! 20 Tricky Riddles That Will Put Your Brain to the Test !! (472,000) | !! 20 Impossible Riddles Only Geniuses Can Solve !! (469,000)</t>
  </si>
  <si>
    <t xml:space="preserve">Impossible Places Global</t>
  </si>
  <si>
    <t xml:space="preserve">Living in Indonesia | How 287 Million People Live Among Active Volcanoes | 4K Travel Documentary (822,000) | Living in Palmerston | Home to Just 35 People, All Descended from One Man | 4K Travel Documentary (545,000) | Living in Pitcairn | The Impossible Island, Home to Just 40 People | 4K Travel Documentary (540,000) | Living in Orango | Where Women Are Kings and Hippos Are Queens | 4K Travel Documentary (418,000)</t>
  </si>
  <si>
    <t xml:space="preserve">Shelter Line</t>
  </si>
  <si>
    <t xml:space="preserve">PREPPING</t>
  </si>
  <si>
    <t xml:space="preserve">Hayatta kalma / hazırlık / ucuz barınma</t>
  </si>
  <si>
    <t xml:space="preserve">architecture</t>
  </si>
  <si>
    <t xml:space="preserve">15 Vehicles You Can Legally Call Home Full-Time for Less Than $2,000 (495,000) | 20 Forest Bunkers People Hide for Under $2,000 That Rangers Never Find (450,000) | 20 Places It's Actually Legal to Sleep Overnight in Any City (209,000) | 15 Legal Shelters You Can Build for Under $2,000 Cities Can't Touch (164,000)</t>
  </si>
  <si>
    <t xml:space="preserve">GameRig Español</t>
  </si>
  <si>
    <t xml:space="preserve">TECH</t>
  </si>
  <si>
    <t xml:space="preserve">Teknoloji/yazılım/yapay zeka</t>
  </si>
  <si>
    <t xml:space="preserve">computers</t>
  </si>
  <si>
    <t xml:space="preserve">diy</t>
  </si>
  <si>
    <t xml:space="preserve">I Turned My Nephew's Toy Laptop Into a Gaming Laptop! (959,000) | How bad is this $3,000 Alienware PC after 15 years? (758,000) | I Turned a Broken PS2 Slim Into a Gaming PC! (291,000) | I Turned a $16 Office PC Into a Gaming PC! (261,000)</t>
  </si>
  <si>
    <t xml:space="preserve">Palace Wardrobe</t>
  </si>
  <si>
    <t xml:space="preserve">The 20 Worst Royal Wedding Dresses of All Time: The Scandals Behind Each One (549,000) | 15 Royal Shoes With Stories More Shocking Than the Dress (226,000) | 15 Times Princess Diana Broke Royal Fashion Rules - and Won (67,000) | 12 Royal Funeral Outfits With Stories More Shocking Than the Dress (52,000)</t>
  </si>
  <si>
    <t xml:space="preserve">DT Civil Core</t>
  </si>
  <si>
    <t xml:space="preserve">Over 12 Miles in 7 Minutes — How Did the Nepal–Tibet Flood Move So Fast? (1,800,000) | Where Did the Water in the Nepal–Tibet Mega Flood Come From? (1,000,000) | Nepal–Tibet Mega Flood 2026: What Really Caused It? (93,000) | How South Korea Built the World’s Longest Seawall (90,000)</t>
  </si>
  <si>
    <t xml:space="preserve">Story Harbor</t>
  </si>
  <si>
    <t xml:space="preserve">SCIFI</t>
  </si>
  <si>
    <t xml:space="preserve">Bilimkurgu / HFY hikaye</t>
  </si>
  <si>
    <t xml:space="preserve">The Alien Soldier Hit the Medic. Every Human Marine Went Silent. | HFY (204,000) | The Day Council Witnessed Humanity’s “Predator Mode” Trigger in Real Time HFY | HFY Sci-Fi Stories (190,000) | We Stood With Earth When It Was Left Alone…And Humans Came To Settle The Debt HFY | HFY Sci-Fi Story (127,000) | They Called for Backup — Then the True Monsters of the Galaxy Emerged | HFY Sci-Fi Story (107,000)</t>
  </si>
  <si>
    <t xml:space="preserve">Stylish60plus</t>
  </si>
  <si>
    <t xml:space="preserve">SENIORFASH</t>
  </si>
  <si>
    <t xml:space="preserve">60 yaş üstü kadın modası</t>
  </si>
  <si>
    <t xml:space="preserve">beauty for elderly women</t>
  </si>
  <si>
    <t xml:space="preserve">How To Wear Leggings Like A Mature Woman Over 60 | 7 Elegant Outfit Ideas (381,000) | DON’T Get a Granny Cut: 6 Hairstyles That Make You Look 10 Years Younger at 60 (293,000) | STOP Wearing These 5 Earrings After 60! WEAR These INSTEAD. (201,000) | 7 Modern Haircuts That Instantly Make You Look Younger 60+ (159,000)</t>
  </si>
  <si>
    <t xml:space="preserve">How the West Actually Was</t>
  </si>
  <si>
    <t xml:space="preserve">25 Things Saloons ACTUALLY Had in the Wild West (Hollywood Got It All Wrong) (585,000) | 25 Things Cowboys ACTUALLY Carried Every Day in the Wild West (118,000) | 25 Rules Every Cowboy ACTUALLY Lived By in the Wild West Or Didn't Survive (107,000) | 20 Wild West Gunfight Myths Hollywood Still Gets Wrong (67,000)</t>
  </si>
  <si>
    <t xml:space="preserve">Princess Revenge</t>
  </si>
  <si>
    <t xml:space="preserve">Reborn, I switched departments and quit flattering my cold boss crush. He’s keeping me close now. (114,000) | Reborn, he gave our first-class seats to his mistress and son, so I took my daughter to start anew. (93,000) | Reborn, I stepped back, stopped pestering him. Before, he lost memory, forgot only me. (84,000) | Reborn, I didn’t clarify rumors for my female classmate—I went to the library instead. (70,000)</t>
  </si>
  <si>
    <t xml:space="preserve">CalmaBro</t>
  </si>
  <si>
    <t xml:space="preserve">Si te ataca un perro de presa, haz ESTO en 5 segundos (1,000,000) | Si ves una cucaracha en casa, NO la pises: haz ESTO (734,000) | Si tu coche cae al agua, NO abras la puerta: haz ESTO (615,000) | If a dog attacks your dog, DON'T grab it: do THIS (449,000)</t>
  </si>
  <si>
    <t xml:space="preserve">DRAMIO</t>
  </si>
  <si>
    <t xml:space="preserve">reddit stories</t>
  </si>
  <si>
    <t xml:space="preserve">"The Comfort Is Over!" My Husband Said. "Starting Today Half Your Paycheck Goes To My Sister — She.. (146,000) | My Dad Made My 8-Year-Old Son Return His Own Birthday Money — $300 From Relatives — And Gave It To (93,000) | At My Baby Shower, My Mom Stood Up And Announced: "All Gifts Go To Your Sister — She's Due First And (88,000) | MY PARENTS UNINVITED ME FROM CHRISTMAS: 'YOUR BROTHER'S FIANCÉE DOESN'T WANT YOU THERE... (63,000)</t>
  </si>
  <si>
    <t xml:space="preserve">Detective Dave</t>
  </si>
  <si>
    <t xml:space="preserve">Entitled Man Refuses to Pay the Restaurant Bill, It Ends Badly (347,000) | Entitled 'Tough Guy' Got A Warning But Then He Couldn't Control Himself (291,000) | Man Challenges Wrong Officers, Finds Out Fast (257,000) | Entitled Karen Thinks She Runs the City (130,000)</t>
  </si>
  <si>
    <t xml:space="preserve">KORELATE</t>
  </si>
  <si>
    <t xml:space="preserve">PARANORMAL</t>
  </si>
  <si>
    <t xml:space="preserve">Paranormal / UFO / açıklanamayan görüntü</t>
  </si>
  <si>
    <t xml:space="preserve">anomalies and alternative science</t>
  </si>
  <si>
    <t xml:space="preserve">Something got filmed that no one can debunk...  (106,000) | Nobody Can Debunk What This Camera Caught... (105,000) | Something About These Videos Is Off… (104,000) | Nobody Can Debunk What Was Caught On Camera… (90,000)</t>
  </si>
  <si>
    <t xml:space="preserve">Traffic Rights USA</t>
  </si>
  <si>
    <t xml:space="preserve">RIGHTS</t>
  </si>
  <si>
    <t xml:space="preserve">'Polis şunu derse bunu söyle' hak rehberi</t>
  </si>
  <si>
    <t xml:space="preserve">🚨 If Cops Say "I Smell Alcohol" — Say THIS Immediately (It's a Trap) (811,000) | Why You Should NEVER Hand Over Your ID Before Asking This Question (32,000) | [LAWYER] Cops Ask “Where are You Coming From?” — The Only Safe Answer (25,000) | If Police Ask “Where Have You Been Tonight?” — Say THIS Exact Line (11,000)</t>
  </si>
  <si>
    <t xml:space="preserve">The Firearms Vault</t>
  </si>
  <si>
    <t xml:space="preserve">MILHIST</t>
  </si>
  <si>
    <t xml:space="preserve">Askeri tarih (WW2, silah, strateji)</t>
  </si>
  <si>
    <t xml:space="preserve">Why the M14 Returned After the Army Replaced It (448,000) | The Soviets Never Built the Dragunov to Snipe — They Built It to Do Something Worse (337,000) | PKM: The Communist Machine Gun NATO Still Can't Beat After 60 Years (239,000) | Dragunov: The Sniper Rifle NATO Spent 30 Years Trying to Copy and Failed (230,000)</t>
  </si>
  <si>
    <t xml:space="preserve">Marcus Explains</t>
  </si>
  <si>
    <t xml:space="preserve">The Economics of Money Laundering (461,000) | The Economics of Music Labels (366,000) | How Pawn Shops Actually Make Money (357,000) | The Economics of Nightclubs (348,000)</t>
  </si>
  <si>
    <t xml:space="preserve">Case Zero</t>
  </si>
  <si>
    <t xml:space="preserve">“Friendly” Wife Has No Idea Police Are About To Arrest Her For Murder (2,000,000) | Sassy Girlfriend Has No Idea Police Are About To Arrest Her For Murder (610,000) | Killer Duo Have No Idea They’re Getting Arrested For Murder (451,000) | 18-Year-Old KILLER Has No Idea Police Already Know It's Her (343,000)</t>
  </si>
  <si>
    <t xml:space="preserve">Planète Incroyable</t>
  </si>
  <si>
    <t xml:space="preserve">La vida en Alaska | Cómo se vive en el verdadero fin del mundo americano | Documental de viajes 4K (672,000) | La vida en Australia | Cómo vive la gente donde el 90% del país está vacío | 4K (565,000) | La vida en Austria | Cómo vive la gente en la Austria que los turistas no ven | 4K (439,000) | La vida en Rumanía | Cómo vive la gente en las montañas más salvajes y temidas de Europa | 4K (280,000)</t>
  </si>
  <si>
    <t xml:space="preserve">Zero Cam</t>
  </si>
  <si>
    <t xml:space="preserve">Kids Send Their Extremely Abusive Dad to Jail After Calling 911 (405,000) | Police Rescue Mom &amp; 2 Kids From Abusive Husband After He Refused to Treat His Sick Daughter (343,000) | Police Rescue Desperate Family From Abusive Drunk Son Turned Home Into Hell After They Tried to Help (220,000) | love this video youtube (118,000)</t>
  </si>
  <si>
    <t xml:space="preserve">Jhon Construction</t>
  </si>
  <si>
    <t xml:space="preserve">SENIORDIY</t>
  </si>
  <si>
    <t xml:space="preserve">'60 yaşındaki marangozun dahice fikri' + ahşap</t>
  </si>
  <si>
    <t xml:space="preserve">do it yourself</t>
  </si>
  <si>
    <t xml:space="preserve">Why Don't Seniors Try This $10 Bucket of Salt That Heats a Room All Winter With No Power? (540,000) | Stop Paying for Concrete — This Forgotten Method Turns Plain Sand Into Solid Stone (300,000) | Stop Paying for Pavers — This $1 Liquid Turns a Pile of Sand Into a Solid Walkway in One Weekend (260,000) | Why Don't Homeowners Use This $40 Copper Coil That Gives Endless Hot Water Without Electricity? (150,000)</t>
  </si>
  <si>
    <t xml:space="preserve">Uscene Cinema</t>
  </si>
  <si>
    <t xml:space="preserve">ZEROFILTER</t>
  </si>
  <si>
    <t xml:space="preserve">'Filtresiz ünlü' komik derlemeler</t>
  </si>
  <si>
    <t xml:space="preserve">When Hollywood legends were asked about Zendaya (304,000) | When Hollywood Legends were asked about Heath Ledger (193,000) | Sabrina (1954): The Banned Ending They Hid For Over 70 Years (154,000) | When Hollywood Legends were asked about Al Pacino (150,000)</t>
  </si>
  <si>
    <t xml:space="preserve">Tras el Aplauso</t>
  </si>
  <si>
    <t xml:space="preserve">LATCELEB</t>
  </si>
  <si>
    <t xml:space="preserve">Latin/Alman ünlü karanlık sırlar</t>
  </si>
  <si>
    <t xml:space="preserve">Diego Verdaguer: The DISGUSTING Double Life... The Fake Romantic Heartthrob Who Broke His Wife (777,000) | José María Napoleón: La humillante BODA destruida... El implacable KARMA de su vejez (701,000) | Karla Álvarez: The brutal blows of the fake widower... The cruel karma of the villainess (574,000) | Angélica Vale: Her disgusting BETRAYAL at the table... The brutal KARMA of her exes (480,000)</t>
  </si>
  <si>
    <t xml:space="preserve">Neurika</t>
  </si>
  <si>
    <t xml:space="preserve">SPACE</t>
  </si>
  <si>
    <t xml:space="preserve">Uzay haberleri (James Webb, Voyager)</t>
  </si>
  <si>
    <t xml:space="preserve">science</t>
  </si>
  <si>
    <t xml:space="preserve">6 MINUTES AGO: The First Images from Vera Rubin HAVE JUST BROUGHT THE WORLD TO A STANDSTILL! (1,900,000) | The Simpsons' 2027 Predictions Will Blow Your Mind (1,400,000) | Mariana Trench: What Victor Vescovo found in 15 dives (208,000) | NASA just confirmed that Voyager 1 found something impossible (207,000)</t>
  </si>
  <si>
    <t xml:space="preserve">The Denial Tapes</t>
  </si>
  <si>
    <t xml:space="preserve">Hospital Maintenance Man Has No Idea Police Just Matched His DNA to a 1991 Murder (592,000) | “Helpful” Grandpa Has No Idea Police Matched His DNA to Two Murders (185,000) | 81-Year-Old Has No Idea Police Kept Her Snow Boots for 38 Years (170,000) | Wife Has No Idea Police Have Her Dashcam From the Night He Was Killed (135,000)</t>
  </si>
  <si>
    <t xml:space="preserve">Everything Professor Compilations</t>
  </si>
  <si>
    <t xml:space="preserve">Every Complex Thing YOU Don't Understand, Explained (1,100,000) | Everything You Need to Know to Make YOU Smarter (721,000) | EVERY Drug &amp; its Effects, Explained (515,000) | Everything You Need to Know to Read &amp; Influence People (138,000)</t>
  </si>
  <si>
    <t xml:space="preserve">Ancient World Uncovered</t>
  </si>
  <si>
    <t xml:space="preserve">How Did Ancient Humans Sleep During the Ice Age? (495,000) | How Vikings Built a HEATING SYSTEM in  30°C Winters With NO Electricity (294,000) | How Vikings Slept Through Blizzard Nights Without Firewood (173,000) | How Did Vikings Survive Freezing Seas Without Fire? (148,000)</t>
  </si>
  <si>
    <t xml:space="preserve">AI Reality Show</t>
  </si>
  <si>
    <t xml:space="preserve">He Chose His Sister-in-Law—So I Disappeared (157,000) | Three Days Married, Her Family Took Everything (99,000) | He Gave Away His Pension—So She Retired Too (78,000) | Six Years of Marriage Ended at the Shoe Cabinet (73,000)</t>
  </si>
  <si>
    <t xml:space="preserve">Disaster Pulse</t>
  </si>
  <si>
    <t xml:space="preserve">ASIA’S DEADLIEST VOLCANO ERUPTS! Anak Krakatau Sends Ash 50,000 Feet High (693,000) | 🔥 Los Angeles Wildfire Explodes | Bouquet Fire Burns 1,000+ Acres &amp; Forces Evacuations (47,000) | 🚨 EAST COAST NOR’EASTER CHAOS! 🌊 100,000+ Without Power &amp; 16-FT Waves Slam Coast (43,000) | TEXAS FLOODS GET WORSE! 12 Counties Under Warning as Heavy Rain Keeps Falling (38,000)</t>
  </si>
  <si>
    <t xml:space="preserve">T O P 7</t>
  </si>
  <si>
    <t xml:space="preserve">7 Smartest People in History – The Last One Will Blow Your Mind (1,800,000) | 7 Most Heavily Guarded Objects in the World (1,400,000) | 7 Famous Places Destroyed by Tourism (342,000) | 7 Most Expensive Woods on Earth – The Last One Is Almost Priceless (297,000)</t>
  </si>
  <si>
    <t xml:space="preserve">KindreD</t>
  </si>
  <si>
    <t xml:space="preserve">TR</t>
  </si>
  <si>
    <t xml:space="preserve">When Celebrities Couldn't Handle Clint Eastwood ZERO Filter! (2,900,000) | When Celebrities Couldn't Handle Betty White ZERO Filter! (1,300,000) | When Celebrities Couldn't Handle Don Rickles ZERO Filter! (1,000,000) | When Celebrities Couldn't Handle Dolly Parton ZERO Filter! (673,000)</t>
  </si>
  <si>
    <t xml:space="preserve">Boots &amp; Roses</t>
  </si>
  <si>
    <t xml:space="preserve">lifestyle</t>
  </si>
  <si>
    <t xml:space="preserve">She Wore Her Worst Dress to Meet Her Father's Guest — She Didn't Know He Owned the Valley (88,000) | 'My Father Sent Me In My Sister's Place,' She Said… 'Get In The Wagon,' Was His Reply (86,000) | No One Had Seen the Rancher Smile in Ten Years — She Made Him Laugh in One Evening (57,000) | "I Feel Sorry For The Man Who Marries Her," He Said — By Autumn, He Was the One Saying the Vows (52,000)</t>
  </si>
  <si>
    <t xml:space="preserve">Her AI Drama</t>
  </si>
  <si>
    <r>
      <rPr>
        <sz val="10"/>
        <rFont val="Arial"/>
        <family val="0"/>
        <charset val="1"/>
      </rPr>
      <t xml:space="preserve">They Sold Him as Blood Property—Then the Vampire Prince Claimed Him | Full Movie (447,000)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His Mistress Used Her Black Card—So the Real Wife Froze the Empire (422,000)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They Tried To Destroy The Scholarship Boy… But He Was The Hidden Heir (400,000) | They Threw the Scholarship Boy Into the Pool—Not Knowing He Was the Hidden Heir | Full Movie (225,000)</t>
    </r>
  </si>
  <si>
    <t xml:space="preserve">MSGold</t>
  </si>
  <si>
    <t xml:space="preserve">US A-10 Fighter Jet Intercept HUGE Iran's Tank Convoy Heading to Red Sea Last Night | Arma 3 (767,000) | US AC-130 Gunship STRIKE Last Iran's Military AirBase at Hormuz by Vulcan Cannon Last Night | Arma 3 (396,000) | US AC-130 Gunship OBLITERATED Last Iran's Military AirBase near Hormuz Last Night| Simulation Arma 3 (240,000) | US MQ-9B Reaper Drone Intercept HUGE Iran's Oil Train Heading to Secret Depot Last Night | MS Arma 3 (212,000)</t>
  </si>
  <si>
    <t xml:space="preserve">SynthStory</t>
  </si>
  <si>
    <t xml:space="preserve">37 Calls, No Answer—So I Canceled the Wedding (374,000) | She Paid $500 for a Fake Boyfriend—He Was a Tycoon (129,000) | 100 Points Meant Divorce—She Finally Chose Herself (100,000) | She Let Another Man Take Their Bedroom, So He Canceled the Wedding (81,000)</t>
  </si>
  <si>
    <t xml:space="preserve">The Neural Signal</t>
  </si>
  <si>
    <t xml:space="preserve">AIREANALYZE</t>
  </si>
  <si>
    <t xml:space="preserve">'X yapay zekayla yeniden analiz edildi'</t>
  </si>
  <si>
    <t xml:space="preserve">The Shroud of Turin Was Reanalyzed by AI—and It Found Something That Shouldn’t Exist! (792,000) | A Jewish Man Studied Jesus' Shroud for 46 Years — Then One Molecule Changed Everything (325,000) | Barrie Schwortz: "The NEW DNA Results Are In — What We Found on the Shroud of Turin Is Unbelievable" (79,000) | Before He Died, a 96-Year-Old Tibetan Monk Revealed the Terrifying Secret of Mount Kailash! (16,000)</t>
  </si>
  <si>
    <t xml:space="preserve">Roki Explains</t>
  </si>
  <si>
    <t xml:space="preserve">Literally Everything About The Human Nervous System Explained Slowly (For Sleep) (230,000) | Literally Everything About Artificial Intelligence Explained Slowly (For Sleep) (60,000) | Literally Everything About Einstein's Theory Of Relativity Explained Slowly (For Sleep) (56,000) | Every Confusing Thing About How Memory Works Explained Slowly (For Sleep) (47,000)</t>
  </si>
  <si>
    <t xml:space="preserve">Inside Area 51</t>
  </si>
  <si>
    <t xml:space="preserve">paranormal</t>
  </si>
  <si>
    <t xml:space="preserve">A Dying Woman Finally Confesses the Child She Raised Was Not Human — She Loved It the Same Way (303,000) | The Roswell Gray Asked One Question Before It Died — A Nurse Exposes What It Wanted to Know (243,000) | A 1974 Abductee Confirmed Grays Are More Dangerous Than We Think (192,000) | A Dying Veteran Reveals He Guarded a Live Gray for 3 Years — And It Talked to Him Every Night (188,000)</t>
  </si>
  <si>
    <t xml:space="preserve">El Curiosso</t>
  </si>
  <si>
    <t xml:space="preserve">Cuando Un Episodio DESTROZA Al Personaje (1,200,000) | Cuando El Villano Silencioso Por Fin Habla (890,000) | Personajes Que Sus Series Ignoraron A Propósito (835,000) | Cuando El Villano Ridículo Se Pone Serio (829,000)</t>
  </si>
  <si>
    <t xml:space="preserve">1941 Files</t>
  </si>
  <si>
    <t xml:space="preserve">What a Captured Navajo Sergeant Heard When Japan Made Him Listen to the Marines' Code (604,000) | What a US Ship Found Adrift Two Weeks After Midway — Hiryu Sailors Japan Had Left for Dead (176,000) | What the Navy Did With Six Million Japanese Still Stranded Overseas When the War Ended (151,000) | What Germany's Man in Tokyo Cabled Berlin After Japan Lost the Marianas (129,000)</t>
  </si>
  <si>
    <t xml:space="preserve">Lost American Stores &amp; Shopping</t>
  </si>
  <si>
    <t xml:space="preserve">nostalgia</t>
  </si>
  <si>
    <t xml:space="preserve">30 Things Every 1960s Department Store Had That You Never See Anymore (564,000) | 25 Store Services Americans Got for FREE That Have Completely Disappeared (38,000) | 25 Things Every 1960s Grocery Store Had That Quietly Disappeared (28,000) | 25 FORGOTTEN Department Stores Every American Family Shopped Before They Vanished (27,000)</t>
  </si>
  <si>
    <t xml:space="preserve">New Frontier</t>
  </si>
  <si>
    <t xml:space="preserve">artificial intelligence</t>
  </si>
  <si>
    <t xml:space="preserve">How Apple Accidentally Won The Al Race (1,700,000) | I Spent a Day With The World's First Humanoid Robot (348,000) | The AI Breakthrough That Will Change Everything (Google DeepMind CEO Interview) (183,000) | The Next Smartphone Lives on Your Face (Meta CTO Interview) (5,100)</t>
  </si>
  <si>
    <t xml:space="preserve">Capsulin Explica</t>
  </si>
  <si>
    <t xml:space="preserve">6 Drinks That Cleanse Your Kidneys (Best Natural Kidney Detox) (2,300,000) | This Is What Happens to Your Body When You Eat Garlic at Night (149,000) | 6 Foods Your Kidneys Will Thank You for Eating (124,000) | The Truth About Drinking Lemon Water on an Empty Stomach (39,000)</t>
  </si>
  <si>
    <t xml:space="preserve">Ivan's Journal</t>
  </si>
  <si>
    <t xml:space="preserve">I Tested WD-40, Hoppe's, Ballistol &amp; Motor Oil On Guns — A Clear Winner! (240,000) | I Tested 12 Popular .22 LR Brands — Only 4 Are Worth Buying (141,000) | 11 Things Gunsmiths Don't Want You to Know About WD-40 (#4 Saves $100) (134,000) | I Tested Tikka, Bergara &amp; Savage Rifles — A Clear Winner! (132,000)</t>
  </si>
  <si>
    <t xml:space="preserve">Amber Frank</t>
  </si>
  <si>
    <t xml:space="preserve">She Paid $4 for a Carriage No One Could Unlock—What Was Inside Hadn't Moved in 30 Years (114,000) | Thrown Out at 18, She Bought Back the Manor Her Family Lost—Nothing Inside Had Been Moved (56,000) | Homeless at 18, She Bought the House With Two Front Doors—Only One Had Ever Been Opened (49,000) | She Inherited a Secret Walled Garden That Appeared on No Map—She Walked to It Alone (48,000)</t>
  </si>
  <si>
    <t xml:space="preserve">Ancient Genomes</t>
  </si>
  <si>
    <t xml:space="preserve">DNA</t>
  </si>
  <si>
    <t xml:space="preserve">DNA/soyadı köken ('X halkı sandığımız gibi değil')</t>
  </si>
  <si>
    <t xml:space="preserve">The Fulani Were Never Who We Thought — DNA Revealed Their True African Ancestry (366,000) | The Jamaicans Were Never Who We Thought — DNA Revealed Their Hidden Ancestry (321,000) | The Somalis Were Never Who We Thought — DNA Revealed Their Hidden Ancestry (289,000) | Scientists Compared Fulani DNA To Every Population On Earth — The Result Shocked Everyone (187,000)</t>
  </si>
  <si>
    <t xml:space="preserve">Massive Wood Workshop</t>
  </si>
  <si>
    <t xml:space="preserve">crafts</t>
  </si>
  <si>
    <t xml:space="preserve">A 2000-Year-Old Tree Entered This Sawmill... Workers Couldn't Believe the Result (1,200,000) | 2,000 Years of Nature // Transformed Into One Legendary Piece of Wood (586,000) | 2000 Year Old Tree (149,000) | They Opened a Giant Timber Worth a Fortune — What Happened Next Was Amazing (148,000)</t>
  </si>
  <si>
    <t xml:space="preserve">Senior Lane</t>
  </si>
  <si>
    <t xml:space="preserve">NEVER Drink Plain Water Again After 60 — THIS Secret Trick Boosts Blood Flow | Senior Health Tips (962,000) | Over 70? THIS 1 Bed Exercise Is All You Need — Better Than Walking |  Senior Health Tips (368,000) | THIS Single Bed Exercise Strengthens Your Legs Faster Than Walking | Senior Health Tips (355,000) | Over 70? THIS 1 Bed Exercise Strengthens Your Knees — Better Than Walking | Senior Health Tips (317,000)</t>
  </si>
  <si>
    <t xml:space="preserve">Pearl Stories</t>
  </si>
  <si>
    <t xml:space="preserve">RACISM</t>
  </si>
  <si>
    <t xml:space="preserve">Irkçılık/milyoner twist hikayeleri</t>
  </si>
  <si>
    <t xml:space="preserve">CEO Fired the Single Dad—Then Froze at What He Left on His Desk (230,000) | Billionaire Bet Her Friends the Janitor Would Steal Her Wallet—What He Did Made Her Regret It (188,000) | The Poor Single Dad Mechanic Fixed an Old Woman’s Car for Free—Then Her CEO Daughter Called Him (174,000) | Single Dad Came Home Late on Christmas—Then Saw a CEO’s Ferrari Parked Outside His House (132,000)</t>
  </si>
  <si>
    <t xml:space="preserve">Frontier America</t>
  </si>
  <si>
    <t xml:space="preserve">Google BLOWS UP The Entire Tech Industry With Latest Announcement! (188,000) | America's New Invention Could Replace Laptop Forever (160,000) | America Just Built a Diesel Killer — And It's Already Going Global (153,000) | American Engineers Broke Down a Xiaomi SU7 and What They Found Shocked Everyone (123,000)</t>
  </si>
  <si>
    <t xml:space="preserve">Wrongly Assumed</t>
  </si>
  <si>
    <t xml:space="preserve">RO</t>
  </si>
  <si>
    <t xml:space="preserve">The Voynich Manuscript Was Reanalyzed by AI - Nobody Expected the Findings (947,000) | The Pyramids Were Reanalyzed by AI - And the Findings Shocked Everyone (838,000) | Easter Island Was Reanalyzed by AI — And the Statues Were Hiding Something Disturbing (605,000) | Scientists Used AI to Decode Cave Symbols — What Ancient Humans Wrote Is Shocking (398,000)</t>
  </si>
  <si>
    <t xml:space="preserve">FableFolk</t>
  </si>
  <si>
    <t xml:space="preserve">CHEATING</t>
  </si>
  <si>
    <t xml:space="preserve">Aldatma hikayeleri</t>
  </si>
  <si>
    <t xml:space="preserve">cheating stories</t>
  </si>
  <si>
    <t xml:space="preserve">Husband Catches Cheating Wife And Delivers INSTANT PAYBACK (750,000) | Cheater Ex-Wife Tried To Move Back Into His House... But It Was Already Too Late (247,000) | She BROKE UP With Him And Didn’t Realize He’d DUMP Her Now (203,000) | Modern Women REGRETTING Their Tattoos After Hitting The Wall... Because High-Value Men MOVED ON! 😱 (81,000)</t>
  </si>
  <si>
    <t xml:space="preserve">CycleWorth</t>
  </si>
  <si>
    <t xml:space="preserve">sports</t>
  </si>
  <si>
    <t xml:space="preserve">reviews</t>
  </si>
  <si>
    <t xml:space="preserve">15 Vintage Muscle Bikes That Will Be Worth a FORTUNE in 2026 (NEVER SELL These!) (218,000) | Aluminium vs Carbon Bikes — The Hard Truth Nobody Wants to Admit (132,000) | 1x vs 2x Drivetrains — The Hard Truth Nobody Wants to Accept (109,000) | 30 Vintage BMX Bikes Quietly Becoming Worth a FORTUNE in 2026 (NEVER SELL These!) (104,000)</t>
  </si>
  <si>
    <t xml:space="preserve">Ring Chronicles</t>
  </si>
  <si>
    <t xml:space="preserve">boxing, sports, celebrity</t>
  </si>
  <si>
    <t xml:space="preserve">Legendary UFC Fighters Reveal How Dominant Manny Pacquiao Was (154,000) | Legendary Fighters Reveal What Made Manny Pacquiao Almost Impossible to Beat (105,000) | Legendary Athletes Reveal How Dominant Manny Pacquiao Was (89,000) | Legendary Fighters Reveal How Dominant Manny Pacquiao Was (81,000)</t>
  </si>
  <si>
    <t xml:space="preserve">CrimeTV</t>
  </si>
  <si>
    <t xml:space="preserve">She Married Him, And Discovered He Had Another Wife | Love Rats 102 (554,000) | She Thought She’d Found Love, Then the Scam Began | Love Rats 101 (470,000) | He Escaped the Eunuch Maker, But the Nightmare Wasn't Over | EP1 | The Eunuch Maker S1 (26,000) | The Disturbing Truth Behind the Eunuch Maker’s Crimes | EP2 | The Eunuch Maker S1 (8,400)</t>
  </si>
  <si>
    <t xml:space="preserve">George Brown</t>
  </si>
  <si>
    <t xml:space="preserve">MOB</t>
  </si>
  <si>
    <t xml:space="preserve">Mafya aileleri tarihi</t>
  </si>
  <si>
    <t xml:space="preserve">Where Are the Five MOB Families in 2026? (234,000) | Where Is Al Capone's Family in 2026? (126,000) | What Happened to Paul Castellano Family After He Was Murdered (125,000) | Where Is John Gotti's Family In 2026? (90,000)</t>
  </si>
  <si>
    <t xml:space="preserve">Celeb 100 Years</t>
  </si>
  <si>
    <t xml:space="preserve">No Celebrity Has ZERO Filter Like Michael Caine - and It’s HILARIOUS! (1,200,000) | When Celebrities Couldn't Handle Tom Selleck ZERO Filter! (927,000) | No Celebrity Has ZERO Filter Like Rowan Atkinson - and It’s HILARIOUS! Then and Legend 2026 (544,000) | No Celebrity Has ZERO Filter Like JOHN WAYNE - and It’s HILARIOUS! (486,000)</t>
  </si>
  <si>
    <t xml:space="preserve">Sleep On Astrophysics</t>
  </si>
  <si>
    <t xml:space="preserve">The Journey to the Nearest Star… And Why It Would Take 70,000 Years (99,000) | What Actually Happens When a Star's Core Turns to Iron (65,000) | The Solar System With Seven Earths: TRAPPIST-1 (46,000) | The True Scale of the Biggest Galaxies Ever Found… And Why They Keep Growing (43,000)</t>
  </si>
  <si>
    <t xml:space="preserve">Frontline WW2 Tales</t>
  </si>
  <si>
    <t xml:space="preserve">A Private Told Patton His Fuel Numbers Were Wrong — By Dawn He Was a Corporal (292,000) | Why Nimitz Sent His "Worthless" Old Battleships Into One Last Fight — And Won (166,000) | Germans Captured a Sherman's Radio — Couldn't Explain How Every Tank Answered at Once (160,000) | Why German Marksmen Couldn't Out Shoot The Average American Rifleman (125,000)</t>
  </si>
  <si>
    <t xml:space="preserve">Auto Insight USA</t>
  </si>
  <si>
    <t xml:space="preserve">AUTO</t>
  </si>
  <si>
    <t xml:space="preserve">Otomobil/motor/kamyoncu</t>
  </si>
  <si>
    <t xml:space="preserve">autos</t>
  </si>
  <si>
    <t xml:space="preserve">2026 Honda Gold Wing Trike Review | The Ultimate Luxury Touring Machine on 3 Wheels! 🏍️🔥 (2,600,000) | 2026 Honda Gold Wing Trike – The Ultimate Luxury Touring Motorcycle! 🏍️🔥 (276,000) | 🚐 Suzuki Jimny S-Camper Tiny Motorhome 2027 – The Smallest Adventure Camper Ever? 🌲🏕️ (196,000) | 2027 Honda Gold Wing Trike Camper 🚀 The Ultimate Luxury Motorcycle Motorhome for Epic Road Trips! (33,000)</t>
  </si>
  <si>
    <t xml:space="preserve">Sleepy Time Origins</t>
  </si>
  <si>
    <t xml:space="preserve">In 1177 BC Every Civilization on Earth Collapsed at Once - And NOBODY Knows Why | History for Sleep (48,000) | The Lost Library of Alexandria May Have Contained the History of Civilizations Before Ours (40,000) | Something RESET Human Civilization in 4200 BC - And Every Continent Recorded It | History for Sleep (27,000) | The Book of Giants Records the World BEFORE the Flood - ERASED From Every Bible (21,000)</t>
  </si>
  <si>
    <t xml:space="preserve">Case Exposed Legal TV</t>
  </si>
  <si>
    <t xml:space="preserve">VN</t>
  </si>
  <si>
    <t xml:space="preserve">She Deposited $55,000 in Fake Checks Then Punched the Cop... Instantly Regret It (578,000) | Dumb Porch Pirate Caught With Stolen Christmas Gifts In Her Car, Ends in TOTAL DISASTER! (362,000) | Traffic Stop Uncovers Stolen Gun, Fake IDs, and Massive Fraud Operation, Ends in TOTAL DISASTER (331,000) | Shoplifter Tries to Return a TV He Just Stole, Immediately Loses His Mind (282,000)</t>
  </si>
  <si>
    <t xml:space="preserve">Hollywood Revealed</t>
  </si>
  <si>
    <t xml:space="preserve">CLASSICTV</t>
  </si>
  <si>
    <t xml:space="preserve">Klasik TV yıldızları karanlık yüzü</t>
  </si>
  <si>
    <t xml:space="preserve">15 Classic TV Co-Stars Who Secretly Hated Each Other (170,000) | 15 Classic TV Legends Who Turned Out to Be Horrible People (164,000) | 10 Child Stars Who Grew Into Horrible People Part 2 (163,000) | 12 Classic TV Stars Who Were Forbidden To Work Together (126,000)</t>
  </si>
  <si>
    <t xml:space="preserve">Forgotten Home Engineering</t>
  </si>
  <si>
    <t xml:space="preserve">20 Forgotten Home Designs That Stayed Cool Before Air Conditioning (399,000) | 20 Old-House Crawlspace Tricks Modern Builders Quietly Abandoned (223,000) | 25 Old-School Basement Tricks That Kept Homes Dry Without a Sump Pump (218,000) | 20 Old-House Ventilation Tricks Modern Builders Quietly Abandoned (193,000)</t>
  </si>
  <si>
    <t xml:space="preserve">Davmanity</t>
  </si>
  <si>
    <t xml:space="preserve">8 Terrifying Facts About Time (1,900,000) | The Most Disturbing Theories Explained (279,000) | The Observer Explained: The Voice in Your Head Isn't You (34,000) | 8 Terrifying Theories About What Exists Outside The Universe (15,000)</t>
  </si>
  <si>
    <t xml:space="preserve">Cold Case Redemption</t>
  </si>
  <si>
    <t xml:space="preserve">COLDCASE_STATE</t>
  </si>
  <si>
    <t xml:space="preserve">'EYALET YIL soğuk dava çözüldü'</t>
  </si>
  <si>
    <t xml:space="preserve">MISSISSIPPI 1963 Cold Case Solved After 31 Years — Justice for Medgar Evers (236,000) | TEXAS 1960 Cold Case Solved After 57 Years — The Killer Was the Priest (172,000) | WASHINGTON 1989 Cold Case Solved — A Coworker Caught the Killer (138,000) | MASSACHUSETTS 1969 Cold Case Solved After 49 Years — Harvard's Darkest Mystery (137,000)</t>
  </si>
  <si>
    <t xml:space="preserve">Officer Walker</t>
  </si>
  <si>
    <t xml:space="preserve">They Lured Her Into Their House To Tear Her To Pieces | True Crime Documentary (576,000) | Her Worst Vacation Ever | True Crime Documentary (281,000) | Detectives Had Never Seen Such Callous Behavior In Their Entire Careers! | True Crime Documentary (218,000) | Detectives Had Never Seen Such Callous Behavior In Their Entire Careers! | True Crime Documentary (166,000)</t>
  </si>
  <si>
    <t xml:space="preserve">Walk With Christ</t>
  </si>
  <si>
    <t xml:space="preserve">christian prayer</t>
  </si>
  <si>
    <t xml:space="preserve">meditation</t>
  </si>
  <si>
    <t xml:space="preserve">Catholic Morning Prayer September 7 2026 | Trust In God's Mercy (16,000) | Catholic Morning Prayer September 22 | Let Jesus Heal Every Wound in Your Heart (16,000) | Catholic Morning Prayer September 14 2026 | Find True Peace in His Holy Cross (14,000) | Catholic Morning Prayer September 24 | Let Jesus Heal Every Hidden Wound Today (14,000)</t>
  </si>
  <si>
    <t xml:space="preserve">Grandpa Walter</t>
  </si>
  <si>
    <t xml:space="preserve">What Happens When You Compress Water to Its Absolute Limit? (456,000) | Why Is a Magnetron So Dangerous? (334,000) | How Dangerous Is Nitroglycerin Really? (294,000) | How Much Can Matter Really Be Compressed? (154,000)</t>
  </si>
  <si>
    <t xml:space="preserve">Manhwa Movie</t>
  </si>
  <si>
    <t xml:space="preserve">comics</t>
  </si>
  <si>
    <t xml:space="preserve">I Returned From The Immortal World... Only To Find My Son Is A Billionaire! (642,000) | If You Let A Fake Human Inside, You Die! Surviving The Skinwalker Apocalypse | Full Recap (251,000) | 8 BILLION People Were Thrown Into a Prehistoric Death World—He Built a DINOSAUR ARMY (198,000) | The World Forgot Chinese Horror—So He Built an SSS-Rank Dungeon With a 100% Death Rate (159,000)</t>
  </si>
  <si>
    <t xml:space="preserve">Los Momentos Ocultos</t>
  </si>
  <si>
    <t xml:space="preserve">THENNOW</t>
  </si>
  <si>
    <t xml:space="preserve">Oyuncular o zaman/şimdi, 'X yıl sonra'</t>
  </si>
  <si>
    <t xml:space="preserve">THE INGALLS FAMILY in 2026: Many Are No Longer With Us and This Is What Happened to Them (1,700,000) | LA NOVELA "TOPACIO" (1984) EN 2026: MUCHOS YA NO ESTÁN Y ESTO LES PASÓ (489,000) | THE ADDAMS FAMILY (1964) IN 2026: MANY ARE GONE AND THIS IS WHAT HAPPENED TO THEM (420,000) | LA NOVELA TOPACIO (1984) EN 2026: MUCHOS YA NO ESTÁN Y ESTO LES PASÓ (420,000)</t>
  </si>
  <si>
    <t xml:space="preserve">El Genio Sabelotodo</t>
  </si>
  <si>
    <t xml:space="preserve">The Obsessed Genius Who Invented the First Car (And Changed History) (957,000) | The Printing Press Error That Gave Us Air Conditioning: A True Story (419,000) | The Strange Accident That Led to the Creation of Electricity (405,000) | The Small Mistake That Created the Famous COCA-COLA Bottle (184,000)</t>
  </si>
  <si>
    <t xml:space="preserve">TRUE, SOMEHOW</t>
  </si>
  <si>
    <t xml:space="preserve">UA</t>
  </si>
  <si>
    <t xml:space="preserve">15 More True Stories That Sound Completely Made Up (139,000) | 15 More True Stories That Sound Completely Made Up (108,000) | 15 True Stories That Sound Completely Made Up (93,000) | 15 More True Stories That Sound Completely Made Up (79,000)</t>
  </si>
  <si>
    <t xml:space="preserve">Venganza Reddit</t>
  </si>
  <si>
    <t xml:space="preserve">Mi hija me llamó llorando a las 2 A. M.—su suegra dijo “No puedes llevártela”. Tres días después… (73,000) | My son sold my late wife's quilts to go to Reno—then the buyer called (46,000) | My daughter thought I was poor—until she saw who was sitting next to me (43,000) | Mi esposa murió de repente—su abogado me dio las llaves de una cabaña secreta (37,000)</t>
  </si>
  <si>
    <t xml:space="preserve">BecauseGeography</t>
  </si>
  <si>
    <t xml:space="preserve">GEOWHY</t>
  </si>
  <si>
    <t xml:space="preserve">Coğrafya neden / harita animasyon</t>
  </si>
  <si>
    <t xml:space="preserve">Why Did China Unify as a Country But Europe Never Did? (706,000) | The Real Reason India United and Southeast Asia Never Did (297,000) | Why Did The US Unite as 1 Country But Spanish America Became 18? (172,000) | Why Is Israel Defending a Dam in Ethiopia From Egypt? (40,000)</t>
  </si>
  <si>
    <t xml:space="preserve">Encore Transformations</t>
  </si>
  <si>
    <t xml:space="preserve">Twilight Stars Then &amp; Now: 18 Years of Transformation (2008-2026) (1,400,000) | X-Men Cast Then &amp; Now: 26 Years of Transformation (2000-2026) (1,200,000) | The Lord of the Rings (2001) Cast Then &amp; Now: 25 Years of Transformation (2001-2026) (947,000) | Harry Potter Stars Then &amp; Now: 25 Years of Transformation (2001-2026) (752,000)</t>
  </si>
  <si>
    <t xml:space="preserve">Survival Guy</t>
  </si>
  <si>
    <t xml:space="preserve">weather</t>
  </si>
  <si>
    <t xml:space="preserve">Asia's Deadliest Volcano Just Did Something Scientists Have Never Seen Before (269,000) | America's Deadliest Volcano Just Did Something Scientists Have Never Seen Before (180,000) | September’s Weather Just Took a Turn Nobody Saw Coming (101,000) | Antarctica's Ice Is Melting Fast — And What's Emerging Is Unbelievable (96,000)</t>
  </si>
  <si>
    <t xml:space="preserve">De entonces a hoy Documental</t>
  </si>
  <si>
    <t xml:space="preserve">Por qué una hora tiene 60 minutos? La increíble historia de cómo aprendimos a medir el tiempo (2,400,000) | La inteligencia artificial empezó mucho antes de lo que imaginas (109,000) | La razón está escrita en los nombres de los días (64,000) | El invento que nos hizo humanos… y nadie sabe quién lo creó (8,300)</t>
  </si>
  <si>
    <t xml:space="preserve">SQRAGE</t>
  </si>
  <si>
    <t xml:space="preserve">2026-06-07</t>
  </si>
  <si>
    <t xml:space="preserve">Squares vs Police – Survival Challenge💥🟥 (461,000) | Squares vs ALL BOSS – Survival Challenge💥🟥 (403,000) | Squares vs ALL BOSS – Survival Challenge in the Maze💥🟥 (345,000) | Squares vs Bomb – Survival Challenge💥 (293,000)</t>
  </si>
  <si>
    <t xml:space="preserve">Judge Elias</t>
  </si>
  <si>
    <t xml:space="preserve">Cop ARRESTS a Firefighter Saving Lives at a Crash — Then Gets SUED (589,000) | Cop Tackled the WRONG MAN — Then Got Caught Lying ($450K Lawsuit) (244,000) | Cop CAUGHT Lying — Attorney EXPOSES Him in Zoom Court! (145,000) | Sergeant CAUGHT Defending the Wrong Cop — Lawyer DESTROYED Him on Zoom (105,000)</t>
  </si>
  <si>
    <t xml:space="preserve">WNBA SAVE</t>
  </si>
  <si>
    <t xml:space="preserve">Adam Silver STUNNED as Caitlin Clark DOES THE IMPOSSIBLE at Team USA Practice! (171,000) | ADAM SILVER BRUTAL WARNING TO KARA LAWSON AFTER CAITLIN CLARK BENCHED &amp; SABOTAGED AGAINST HUNGARY (142,000) | ADAM SILVER DESTROYS KARA LAWSON AFTER CAITLIN CLARK BENCHED AND SABOTAGED! AGAINST CZECHIA IN FIBA (134,000) | ADAM SILVER RAGES AFTER CAITLIN CLARK IS BENCHED, SABOTAGED BY KARA LAWSON AGAINST ITALY IN FIBA (128,000)</t>
  </si>
  <si>
    <t xml:space="preserve">Today's Foods Investigated</t>
  </si>
  <si>
    <t xml:space="preserve">16 Ice Cream Brands to Never Buy And 7 That Are Actually Real (327,000) | 13 Butter Brands To AVOID And 7 That Are Actually Real Butter (86,000) | 13 Coffee Brands to Never Buy and 7 That Are Actually Safe (18,000) | 11 OLIVE OILS TO AVOID AND 8 That Are Actually Olive Oil (9,200)</t>
  </si>
  <si>
    <t xml:space="preserve">Crown Recaps</t>
  </si>
  <si>
    <t xml:space="preserve">MOVIERECAP</t>
  </si>
  <si>
    <t xml:space="preserve">Film özeti / film yorum</t>
  </si>
  <si>
    <t xml:space="preserve">Only 100 People Left on Earth After a Virus Wipes Out 99% of Humanity . Recaps (960,000) | If This Creepy Doll Sees You Move, You're Dead Instantly! Movie Recaps  (724,000) | He Was Born With Unlimited IQ, But No One Knew What He Really Was. - Recaps  (579,000) | School Bullies Pick on a Nerd, Not Knowing His Brother Is a PSYCHO War Veteran. Recaps (477,000)</t>
  </si>
  <si>
    <t xml:space="preserve">Deep Space News</t>
  </si>
  <si>
    <t xml:space="preserve">James Webb Just Saw Something Impossible on Pluto — Scientists Are Stunned (1,000,000) | James Webb Just Found Something Strange on Pluto — This Changes Everything (407,000) | Voyager 2 Just Found Something Impossible in Interstellar Space — Scientists Are Stunned (351,000) | We Finally Know How Big the Universe Is — And It’s Insane (186,000)</t>
  </si>
  <si>
    <t xml:space="preserve">Renkai Gamer</t>
  </si>
  <si>
    <t xml:space="preserve">video games</t>
  </si>
  <si>
    <t xml:space="preserve">20 Games That Made 1998 Gaming's Best Year Ever (649,000) | 18 PS1 Games That Still Impress Over 25 Years Later (553,000) | 18 PS2 Games That Still Impress Over 20 Years Later (434,000) | 20 Games That Defined 1997 The Year Gaming Changed Forever (242,000)</t>
  </si>
  <si>
    <t xml:space="preserve">Banter Politics</t>
  </si>
  <si>
    <t xml:space="preserve">politics</t>
  </si>
  <si>
    <t xml:space="preserve">England Fans &amp; Patriots REFUSE TO BE SILENCED! After Councils &amp; FIFA Enforce English Flag Bans! (402,000) | IF OUR FLAG INTIMIDATES YOU - GO! British Lads FIGHT-BACK Against Man Who HATES The British Flag! (384,000) | England Fans Take Over The Streets With England Flags Chanting ''Wanker''! You Won’t Believe This! (240,000) | YOU DON'T WANT OUR FLAG UP - GO! British Lads CONFRONT Men Not Wanting British Flags Put Up! (205,000)</t>
  </si>
  <si>
    <t xml:space="preserve">Rising Talent</t>
  </si>
  <si>
    <t xml:space="preserve">COMPILATION</t>
  </si>
  <si>
    <t xml:space="preserve">Derleme (felaket anı, dashcam, yetenek)</t>
  </si>
  <si>
    <t xml:space="preserve">collecting</t>
  </si>
  <si>
    <t xml:space="preserve">World’s Most Amazing Skills And Talent EVER #51 (1,300,000) | World’s Most Amazing Skills And Talent EVER #18 (812,000) | World’s Most Amazing Skills And Talent EVER #29 (630,000) | These People's Insane Skills Are At Another Level #5 (590,000)</t>
  </si>
  <si>
    <t xml:space="preserve">Homestead Fables</t>
  </si>
  <si>
    <t xml:space="preserve">They Took His Ranch and Left Him a Waterfall—At 41 He Found the Cabin Behind It (118,000) | He Was Too Old to Ride—So He Bought the Ruined Ranch and Found the Room Behind the Fireplac (99,000) | The Lost Supply Column Never Reached the Fort—He Found the Wagons Still Loaded in the Ravine (65,000) | Shot and Left in the Badlands—He Found a Hidden Outlaw Secret Lost for Two Generations (37,000)</t>
  </si>
  <si>
    <t xml:space="preserve">Die Tesla Welt</t>
  </si>
  <si>
    <t xml:space="preserve">elon musk &amp; tesla</t>
  </si>
  <si>
    <t xml:space="preserve">Toyota CEO unveils engine that could signal the end of the electric vehicle industry! (276,000) | BYDs neuer Motor 2026 SCHOCKIERT den Markt — Ein Wendepunkt für die gesamte Branche! (276,000) | China unveils new electric car battery: 2,700 km range and 5-minute charging shock the industry! (166,000) | Offiziell bestätigt: Mercedes' YASA-Flux-Motor versetzt die gesamte EV-Branche in Aufruhr! (104,000)</t>
  </si>
  <si>
    <t xml:space="preserve">SchlummerPhysik</t>
  </si>
  <si>
    <t xml:space="preserve">physics</t>
  </si>
  <si>
    <t xml:space="preserve">Warum Die Vier Grundkräfte Das Größte Rätsel Der Physik Bleiben (41,000) | Im Inneren Eines Neutronensterns Können Atome Nicht Überleben (38,000) | Das Größte Ungelöste Problem Der Physik (31,000) | Warum Elektronen Sich Weigern, Denselben Zustand Zu Teilen (26,000)</t>
  </si>
  <si>
    <t xml:space="preserve">Engineered in Asia</t>
  </si>
  <si>
    <t xml:space="preserve">CH</t>
  </si>
  <si>
    <t xml:space="preserve">Japan's New Invention Could Replace iPhones Forever (344,000) | Japan Just Built The Machine ASML Was Terrified Of (224,000) | Honda Blows Up The Entire Aviation Market With This BIG ANNOUNCEMENT (102,000) | Toyota Just Shook The Entire Car Industry With One BIG ANNOUNCEMENT (76,000)</t>
  </si>
  <si>
    <t xml:space="preserve">The Greatest Homes</t>
  </si>
  <si>
    <t xml:space="preserve">Abandoned Mansions Of Infamous Drug Lords (453,000) | The Forgotten Mansions Of Hollywood's Child Stars (217,000) | The Final Homes Of Music Legends (202,000) | Abandoned Mansions Of Famous Rappers (171,000)</t>
  </si>
  <si>
    <t xml:space="preserve">Raw Animals Footage</t>
  </si>
  <si>
    <t xml:space="preserve">Roadrunner Nest Defense and Peregrine Falcon Hunting Strategy | Wild animal (2,100,000) | When a Honey Badger Attacks a Peregrine Falcon Nest | Wild animals (1,100,000) | How Eagles and Peregrine Falcons Hunt in the Deathly Cold! | Wild animals (999,000) | Can the Golden Eagle Parents Save Their Chicks from a Snow Leopard? | Wild animals (851,000)</t>
  </si>
  <si>
    <t xml:space="preserve">LA ETIQUETA</t>
  </si>
  <si>
    <t xml:space="preserve">fashion for men</t>
  </si>
  <si>
    <t xml:space="preserve">I Researched 10 Outdoor Clothing Brands (Only 2 Are Worth the Money) (804,000) | 6 Polo Brands That Live Solely Off Their Name (And 3 That Are Actually Worth It) (761,000) | These 8 Clothing Brands Are Dead… You Just Don't Know It Yet (716,000) | 10 Denim Brands Only Smart People Buy (549,000)</t>
  </si>
  <si>
    <t xml:space="preserve">Mafia Destiny Story</t>
  </si>
  <si>
    <t xml:space="preserve">She Woke Up Inside A Mansion WITH A RING ON HER FINGER   The MAFIA BOSS Said 'WE GOT MARRIED!' (97,000) | Due to His SIZE, Mafia Boss Was Rejected by Every Woman… Until a Clumsy Plus Size Bride Arrived (81,000) | The Older Mafia Boss Thought His Intimate Life Was Over   Until One Night With aYoung Waitress (64,000) | She Whispered "Sorry I'm Late"—Then the Mafia Boss Saw the Blood Trail Behind Her (62,000)</t>
  </si>
  <si>
    <t xml:space="preserve">WLS Zone</t>
  </si>
  <si>
    <t xml:space="preserve">Moments Filmed Seconds Before Disasters | Incredible Moments Caught on Camera #1 (1,100,000) | Moments Filmed Seconds Before Disasters | Incredible Moments Caught on Camera #3 (700,000) | One in a Billion Moments in Nature | Best of 2026 #1 (539,000) | CCTV Caught What Nobody Expected | Incredible Moments Caught On Camera (535,000)</t>
  </si>
  <si>
    <t xml:space="preserve">The Earth Desk</t>
  </si>
  <si>
    <t xml:space="preserve">Anak Krakatau Is Still Erupting... And Now Three More Volcanoes Just Woke Up (330,000) | Anak Krakatoa Is About To Erupt Again... And This Time It Could Be Worse (263,000) | Philippines' Scariest Volcano Just Erupted — And Now It's Getting Strange (64,000) | Europe's Most Dangerous Supervolcano Just Woke Up Beneath Half A Million Homes (53,000)</t>
  </si>
  <si>
    <t xml:space="preserve">Palace Beacon</t>
  </si>
  <si>
    <t xml:space="preserve">William Will NEVER See Camilla The Same After Diana’s Former Driver FINALLY Breaks Silence! (675,000) | 5 MINUTES AGO: Prince William &amp; Catherine CONFIRMS Charles Is Stepping Aside- Camilla In Tears! (457,000) | Prince William Couldn’t Hold Back TEARS—What George Did At Diana’s Memorial SHOCKED Britain! (317,000) | 5 MINUTES AGO: William &amp; Catherine CONFIRMS Heartbreaking News About Prince Louis After Incident! (279,000)</t>
  </si>
  <si>
    <t xml:space="preserve">Apex Arena</t>
  </si>
  <si>
    <t xml:space="preserve">Los Angeles Is Ripping the Concrete Out of Its Own River — What's Coming Back Is Unreal (221,000) | Florida Is Removing the Canals That Drained the Everglades — What’s Coming Back Is Unreal (193,000) | Britain Brought Back a Predator That Saved Its Red Squirrels — What Happened Next Was Totally Unreal (183,000) | Colombia Inherited 4 Hippos From Pablo Escobar — 40 Years Later, They’re Rewriting an Entire River (142,000)</t>
  </si>
  <si>
    <t xml:space="preserve">Decade Drift</t>
  </si>
  <si>
    <t xml:space="preserve">Immortal Gentlemen: The 50-Year Journey of 100+ Cinematic Legends (445,000) | Hollywood Actors Then (Age 30) vs Now: Dramatic Aging Transformations (244,000) | You Won't Believe These 100 Johnny Carson Stars Today! (30,000) | The Golden 70s: 100 Classic Stars Then and Now (16,000)</t>
  </si>
  <si>
    <t xml:space="preserve">Ramdhani Prajapati</t>
  </si>
  <si>
    <t xml:space="preserve">Canada’s Hidden Gas Giant Was Locked Underground for 50 Years — Now It’s Changing North America (229,000) | Canada’s New 250-Seat Plane Is Shaking The Entire Aviation Industry (213,000) | Canada's Bombardier Just Built A Jet That's Shaking The Entire Aviation Industry (145,000) | Canadian Engineers Tore Apart a Tesla and What They Found Shocked Everyone (141,000)</t>
  </si>
  <si>
    <t xml:space="preserve">AmericanJusticeFiles</t>
  </si>
  <si>
    <t xml:space="preserve">Honor Student's Priceless Reaction After Hearing a Massive Prison Sentence! (716,000) | He Brutalized His Pregnant Girlfriend On Delivery Day — Judge SNAPS &amp; Rejects Plea (260,000) | Judge Rejects Plea &amp; Doubles Prison Sentence! (231,000) | He RAP*D Own 6 Year-Old Daughter Still Thought He’d Walk Free — Judge Boyd Wants Life Sentence (184,000)</t>
  </si>
  <si>
    <t xml:space="preserve">Cloud Codes</t>
  </si>
  <si>
    <t xml:space="preserve">10 Github Repos That Will Kill Your Monthly Subscriptions (187,000) | Qwen3.8-Flash-Next: The End of VRAM-Bottlenecked LLMs (125,000) | HTMX Explained: The "Dumb" HTML Secret Replacing React (93,000) | Best Local Coding AI for Your GPU (4GB to 512GB) (90,000)</t>
  </si>
  <si>
    <t xml:space="preserve">Forgotten Bible Stories</t>
  </si>
  <si>
    <t xml:space="preserve">BIBLE</t>
  </si>
  <si>
    <t xml:space="preserve">İncil hikayesi/açıklama</t>
  </si>
  <si>
    <t xml:space="preserve">THE BOOK OF ENOCH 🎬 The COMPLETE Story of the Watchers and Nephilims | Full Bible Movie 4K (358,000) | The ORIGIN of BLACK PEOPLE According to the Bible | Full Bible Documentary 4K (314,000) | Why The Book of HEBREWS Will BLOW Your Mind | Full Bible Movie 4K (303,000) | The Most MIND-BLOWING Book Left Out of Bible | JUBILEES Full Movie 4K (260,000)</t>
  </si>
  <si>
    <t xml:space="preserve">Insane Manhwa Recaps</t>
  </si>
  <si>
    <t xml:space="preserve">His Girlfriend Called Him UGLY, Then A System Made Him 1% Hotter Every Day! (152,000) | I Became the Personal Chef for Five Women Who Owned the City. Then They Started Fighting Over Me! (113,000) | He Was FIRED For Being Lazy, Then Every Anime He Watched Permanently Increased His IQ! (89,000) | They Called Him Weak, Then Every Workout Became 100X More Effective, Now Girls Keep Staring At Him! (68,000)</t>
  </si>
  <si>
    <t xml:space="preserve">Story Legacy</t>
  </si>
  <si>
    <t xml:space="preserve">scifi stories, stories, military</t>
  </si>
  <si>
    <t xml:space="preserve">101. They Mocked Her Grip Technique |Until the Instructor Whispered, ‘Only Earthborn can shoot lik (79,000) | 22. Seven Bullies Tried to Jump a Deathworld Cadet | It Ended in Seconds | HFY Sci Fi Stories (74,000) | 51. He Thought Hitting a Deathworld Girl Was Safe | The Academy Learned Otherwise | HFY Sci Fi Stori (60,000) | 67. Alien Warriors Mocked Earth’s “Heavy World” | Then Their Legs Begged for Mercy | HFY Sci F (52,000)</t>
  </si>
  <si>
    <t xml:space="preserve">Heart Justice Stories</t>
  </si>
  <si>
    <t xml:space="preserve">Mayor's Daughter Publicly Humiliates a Black Girl at Lunch — One Call Ends Her Mayor Father's Career (175,000) | “Clean My Shoes or Leave!” My Husband Said—So I Withdrew $15 Billion and Let His Family Collapse (123,000) | Millionaire Family Slapped a Black CEO at a Gala — Seconds Later She Killed Their $1B Deal (116,000) | A CEO Ordered a Black Female Customer Out of a Café — Then His Bodyguard Recognized Her Scar (109,000)</t>
  </si>
  <si>
    <t xml:space="preserve">Historia Del Comercio</t>
  </si>
  <si>
    <t xml:space="preserve">FOODHIST</t>
  </si>
  <si>
    <t xml:space="preserve">Yemek/ürün tarihi, yemek tarifi</t>
  </si>
  <si>
    <t xml:space="preserve">The History of Corn — The Food That Changed America (1,000,000) | El Comercio De Esclavos Del Atlántico — La Historia Oculta Del Sistema Que Construyó Los Imperios (1,000,000) | La Historia Del Café — El Grano Que Creó Imperios Y Alimentó Revoluciones (752,000) | La Historia del Aceite de Oliva — El Oro Líquido del Mundo Antiguo (499,000)</t>
  </si>
  <si>
    <t xml:space="preserve">THROUGH THE CRACKS</t>
  </si>
  <si>
    <t xml:space="preserve">Cops Realize Psycho Woman Ripped Out Her Mother's Heart (1,000,000) | Cops Open Basement Door, Find Starving Woman In A Box (404,000) | How Police Captured Florida's Most Brutal Killers (252,000) | Cops Realize They Just Interrupted A Killing In Progress (137,000)</t>
  </si>
  <si>
    <t xml:space="preserve">Hineni</t>
  </si>
  <si>
    <t xml:space="preserve">The Complete Story Of David Like You've Never Seen Before (525,000) | The Complete Story of ABRAHAM Like You've Never Seen It Before (466,000) | The Entire Life of Moses Like You've Never Seen Before | In 4k (308,000) | The Entire Life Of Joseph 🎬 A Cinematic Experience Like No Other In Breathtaking 4K (178,000)</t>
  </si>
  <si>
    <t xml:space="preserve">DragonFlix Drama</t>
  </si>
  <si>
    <t xml:space="preserve">2026-07-08</t>
  </si>
  <si>
    <t xml:space="preserve">I walked into the WRONG bedroom... and now the cold-hearted Lord claims I'm HIS bride! 💍😱#minidrama (164,000) | I Reborn &amp; Chose a Useless Prince as My Dad! I Trained Him into the Emperor! 👑🔥#minidrama (115,000) | 🐍Reincarnated Genius! The Petite Junior Sister Takes Over the Immortal World#minidrama (95,000) | ✨Genius Doctor Time-Travels! She used miracle medicine to rewrite her tragic fate🩺💥#minidrama (90,000)</t>
  </si>
  <si>
    <t xml:space="preserve">geography</t>
  </si>
  <si>
    <t xml:space="preserve">Indonesia Is Hiding Something Nobody Talks About (739,000) | 25 Wild South Africa Facts That Break Your Brain (569,000) | 25 Wild Scotland Facts That Break Your Brain (414,000) | Beneath South Africa Lies a Lost World Older Than the Pyramids (349,000)</t>
  </si>
  <si>
    <t xml:space="preserve">Geo Map Animations</t>
  </si>
  <si>
    <t xml:space="preserve">Where in the World is Roblox BANNED? (2026 Map) 🔒🚫 (956,000) | Where in the World is YouTube BANNED? (2026 Map) 🔒🚫 (696,000) | What If Asia Had A Battle Royale? #1 (535,000) | What If Europe Had A Battle Royale? #1 (489,000)</t>
  </si>
  <si>
    <t xml:space="preserve">Dabble</t>
  </si>
  <si>
    <t xml:space="preserve">I Built the World’s Fastest Castle to ONE SHOT Bosses | Wanderburg (157,000) | This SUMMON Build Flooded the Map With Troops | Wanderburg (152,000) | I Made a LEVEL 200+ Unit to SOLO Hard Mode! | Slotbound (101,000) | Can Max HP and Regen Make You Unkillable?! | Wanderburg (96,000)</t>
  </si>
  <si>
    <t xml:space="preserve">PopCornPanda Plays</t>
  </si>
  <si>
    <t xml:space="preserve">roblox</t>
  </si>
  <si>
    <t xml:space="preserve">25 RAREST ANOMALIES IN ANIMAL HOSPITAL (812,000) | I Unlocked TINY ANOMALY Class in ANIMAL HOSPITAL (552,000) | EVERY ACHIEVEMENT COMPLETED IN 25 MINUTES - ALL ANOMALIES AND NPCs (323,000) | I FOUND ALL ANOMALIES IN ANIMAL HOSPITAL (280,000)</t>
  </si>
  <si>
    <t xml:space="preserve">Beyond Process TV</t>
  </si>
  <si>
    <t xml:space="preserve">How Billions of Bamboo Trees Become Soft Towels and Bed Linen | Full Factory Process (2,400,000) | How Millions of Sugarcane Produce White Sugar Every Single Day | Full Factory Process (1,400,000) | How Millions of Coconuts Become Coconut Jelly &amp; Candy | Full Factory Process (1,300,000) | Inside a Massive Peacock Farm &amp; Feather Factory | From Eggs to Luxury Products (855,000)</t>
  </si>
  <si>
    <t xml:space="preserve">Amirispro</t>
  </si>
  <si>
    <t xml:space="preserve">roblox, youtube challenge videos, video games</t>
  </si>
  <si>
    <t xml:space="preserve">I Became A PIRATE In Roblox Rivals.. (104,000) | I Played Rivals with VERITY.. (67,000) | I Became A NINJA In Roblox Rivals.. (17,000) | How Many YOUTUBER CHARMS Can I Get in 1 HOUR.. (15,000)</t>
  </si>
  <si>
    <t xml:space="preserve">Plegarias del Salmista</t>
  </si>
  <si>
    <t xml:space="preserve">VE</t>
  </si>
  <si>
    <t xml:space="preserve">PSALM 4 | NIGHT PRAYER | God Gives You Peace, Security, and Protection to Sleep (62,000) | Psalm 27 Before You Sleep - GOD Fights for YOU While You Sleep - NIGHT PRAYER (47,000) | PSALM 35 NIGHT PRAYER (27,000) | POWERFUL PRAYER BEFORE SLEEP | Protection and Rest in God | Psalm 4:8 (24,000)</t>
  </si>
  <si>
    <t xml:space="preserve">Lost American Childhood &amp; Neighborhood Life</t>
  </si>
  <si>
    <t xml:space="preserve">25 FORGOTTEN Toys Every 1970s Kid Begged Their Parents to Buy (114,000) | 25 FORGOTTEN Things Every 1960s Kid Did on Saturday Mornings That Are Gone Forever (99,000) | 25 FORGOTTEN Things Every 1960s Kid Did at Recess That Schools Don’t Allow Anymore (79,000) | 25 Places Every 1960s Kid Went Without Their Parents That Have Almost Disappeared (70,000)</t>
  </si>
  <si>
    <t xml:space="preserve">Planeta Garabato</t>
  </si>
  <si>
    <t xml:space="preserve">KIDSANIM</t>
  </si>
  <si>
    <t xml:space="preserve">Animasyon top-10 / çocuk mizah</t>
  </si>
  <si>
    <t xml:space="preserve">animation, educational, puzzles</t>
  </si>
  <si>
    <t xml:space="preserve">The 10 Best Numbers to Live By (1,400,000) | Top 10 Symbols to Survive the Zombie Apocalypse (565,000) | Top 10 Numbers to Use as a Submarine (384,000) | Top 10 Letters to Use as a Survival Bunker (287,000)</t>
  </si>
  <si>
    <t xml:space="preserve">Lifeways Travel</t>
  </si>
  <si>
    <t xml:space="preserve">Living in Mayotte | How Life Works on Europe’s Most Dangerous Island | 4K (244,000) | Living in Suriname | How People Live in the Most Forested Country in South America | 4K (228,000) | Living in Zimbabwe | How Life Works in the World’s Most Underrated Country | 4K (225,000) | Living in Montserrat | How Life Works on an Island Buried by Volcanic Eruptions | 4K (181,000)</t>
  </si>
  <si>
    <t xml:space="preserve">The Ocean Planet</t>
  </si>
  <si>
    <t xml:space="preserve">DEEP SEA CREATURES | Strange and Mysterious Life Under the Ocean | 4K Documentary (229,000) | COASTAL SEAS | Discover the Unseen Beauty of Earth’s Ocean Edge | 4K Documentary (152,000) | THE RED SEA | The Ocean Between Deserts Full of Hidden Life | FULL DOCUMENTARY (146,000) | ISLAND WATERS | The Secret Ocean Kingdom Around the Islands | FULL DOCUMENTARY (108,000)</t>
  </si>
  <si>
    <t xml:space="preserve">The Divine Sermons</t>
  </si>
  <si>
    <t xml:space="preserve">2 Animals That Keep Evil Away From Your Home | Fr Chad Ripperger (376,000) | 5 Smells in Your House That Mean a DEMON is Present | Fr Chad Ripperger (359,000) | If A Person Does This Be careful - They Are Human Demon | Fr Chad Ripperger (348,000) | 3 SECRET MARKS ONLY THE CHOSEN HAVE | FR CHAD RIPPERGER (223,000)</t>
  </si>
  <si>
    <t xml:space="preserve">Noticias Hoy Peru CN</t>
  </si>
  <si>
    <t xml:space="preserve">LATCRIME</t>
  </si>
  <si>
    <t xml:space="preserve">Latin Amerika suç haberleri</t>
  </si>
  <si>
    <t xml:space="preserve">crime, news, court cases &amp; legal proceedings</t>
  </si>
  <si>
    <t xml:space="preserve">🚨 DETAINED SUSPECT CONFESSES ALL! 100 POLICE OFFICERS SOLD OUT TO CRIME, EVERYTHING COMES TO LIGH... (957,000) | 🚨 CRIMINALS FINALLY IDENTIFIED! CAMERAS RECORDED THEM 12 HOURS BEFORE THE MASSACRE WITH SUITCASES (349,000) | KEIKO THE NEW PRESIDENT: FOREIGN VOTE COUNT CONFIRMS IT (328,000) | LIVE BOMB AT KEY INFORMANT'S HOUSE: ATTEMPT TO SILENCE, FAMILIES DEMAND JUSTICE IN TRUJILLO (287,000)</t>
  </si>
  <si>
    <t xml:space="preserve">Silent Sweet Revenge</t>
  </si>
  <si>
    <t xml:space="preserve">Three Days After My Wife Died, My Son Quit His Job—Because He Thought My Inheritance Was His (69,000) | My DIL Planned a 47-Person BBQ in MY Backyard, Dared Me to Say No—Then a Former Sheriff Stopped Them (67,000) | Very Sick. My Son Took His Wife's Family To Hawaii For 36 Days—They Even Hid My Medicine. But... (32,000) | My Daughter-in-Law Said, "You Have 5 Days to Clear Out."—I Said, "Check Whose Name Is on the Title." (30,000)</t>
  </si>
  <si>
    <t xml:space="preserve">After the Boom</t>
  </si>
  <si>
    <t xml:space="preserve">NOBODYVISIT</t>
  </si>
  <si>
    <t xml:space="preserve">'Artık kimse X'i ziyaret etmek istemiyor'</t>
  </si>
  <si>
    <t xml:space="preserve">The Most Impossible Rise of a City Ever: Perth, Western Australia . (124,000) | Why Nobody Wants to Visit Byron Bay Anymore (77,000) | Why Nobody Wants to Visit Alice Springs Anymore (73,000) | The German Town Australia Tried to Erase: Hahndorf, South Australia (63,000)</t>
  </si>
  <si>
    <t xml:space="preserve">Misterios del Rosario</t>
  </si>
  <si>
    <t xml:space="preserve">HOLY ROSARY FOR TODAY FRIDAY, JULY 24, 2026 💖 SORROWFUL MYSTERIES 🌹 HOLY MARY VIRGIN (101,000) | TODAY'S HOLY ROSARY TUESDAY, JULY 21, 2026 💖 SORROWFUL MYSTERIES 🌹 HOLY MARY VIRGIN (88,000) | TODAY'S HOLY ROSARY MONDAY AUGUST 3, 2026 💖 JOYFUL MYSTERIES 🌸 HOLY VIRGIN MARY (86,000) | HOLY ROSARY FOR TODAY WEDNESDAY JULY 22 2026 💖 GLORIOUS MYSTERIES 🌟 SAINT MARY VIRGIN (81,000)</t>
  </si>
  <si>
    <t xml:space="preserve">Forgotten American School Days</t>
  </si>
  <si>
    <t xml:space="preserve">20 Things 1950s Kids Could Do That Students Can’t Today (686,000) | 25 Questions Every 1950s 6th Grader Had to Answer — Can You Pass? (263,000) | 20 Questions from a 1955 8th Grade Exam That Most Adults Today Can't Answer (196,000) | 25 School Lunches Every American Kid Ate in the 1970s (Gone Forever Today) (120,000)</t>
  </si>
  <si>
    <t xml:space="preserve">Century Block</t>
  </si>
  <si>
    <t xml:space="preserve">The Fall of Little Italy: Manhattan’s Lost Italian Neighborhood (109,000) | The Rise and Fall of Spanish Harlem: From Italian Harlem to El Barrio (106,000) | The Rise and Fall of Greek Astoria: Queens’ Great Greek Neighborhood (95,000) | The Rise and Fall of Flatbush: Brooklyn's Great Caribbean Neighborhood (58,000)</t>
  </si>
  <si>
    <t xml:space="preserve">Vanished Worlds</t>
  </si>
  <si>
    <t xml:space="preserve">disaster stories</t>
  </si>
  <si>
    <t xml:space="preserve">SAN ANDREAS: The Big One That Could Destroy California (678,000) | CASCADIA: The Megaquake That Could Break America’s West Coast (524,000) | MOUNT RAINIER: The Volcano That Doesn’t Need Lava to Kill (349,000) | ALASKA: The Most Powerful Eruption of the 20th Century - Still Buried in Silence (240,000)</t>
  </si>
  <si>
    <t xml:space="preserve">PowerChip</t>
  </si>
  <si>
    <t xml:space="preserve">China's $20 Sneakers Are Exposing a $250 Lie — Here's How (995,000) | China's $0.05 Razor Blades Are Destroying Gillette's $8 Billion Empire — Here's How (557,000) | China's $30 Suitcases Are Destroying Rimowa's $2 Billion Luxury Empire — Here's How (216,000) | China's new Water Bottles Are Destroying a $350 Billion Empire — Here's How (193,000)</t>
  </si>
  <si>
    <t xml:space="preserve">JustinRantz</t>
  </si>
  <si>
    <t xml:space="preserve">School Rules Make Absolutely NO Sense (1,000,000) | School Websites Are TORTURE  (870,000) | The First Day of School Is Actually PAINFUL (224,000) | School Fights Are Actually INSANE (83,000)</t>
  </si>
  <si>
    <t xml:space="preserve">Mido Explained</t>
  </si>
  <si>
    <t xml:space="preserve">Full Process Of MSG Processing Line: From Cassava Root To Sweetness Flour (1,000,000) | How Pure Aluminum Is Made From Millions Of Tons Red Soil Inside Inside Massive Refining Factory (817,000) | Why Do Massive Cargo Ships Only Run on Asphalt Instead of Diesel (582,000) | How Hard Is It To Turn Black Sand Into Titanium? (554,000)</t>
  </si>
  <si>
    <t xml:space="preserve">Ravelin</t>
  </si>
  <si>
    <t xml:space="preserve">The Genius Trap Every Military Strategist Knows (1,300,000) | The Genius Trap That Destroyed A British Army (860,000) | Washington's Genius War Strategy That Humiliated Britain (360,000) | The Day Britain Lost an Entire Army — Saratoga, 1777 (353,000)</t>
  </si>
  <si>
    <t xml:space="preserve">Memorium</t>
  </si>
  <si>
    <t xml:space="preserve">The Complete History of Mexico: From the First Peoples to Independence (792,000) | How the Dominican Republic Was Born | From the Taínos to Independence | Complete History (460,000) | How Argentina Was Born | From Indigenous Peoples to Independence (381,000) | The Complete History of Haiti — From French Colony to Revolution and Independence (305,000)</t>
  </si>
  <si>
    <t xml:space="preserve">Across America</t>
  </si>
  <si>
    <t xml:space="preserve">TRAVELPOV</t>
  </si>
  <si>
    <t xml:space="preserve">Lüks seyahat / şehir yürüyüşü 4K</t>
  </si>
  <si>
    <t xml:space="preserve">New York in Fall | Manhattan Autumn Streets &amp; City Views 4K Drone Footage (305,000) | The Streets of Miami | South Beach, Ocean Drive &amp; Palm Trees 4K Drone Footage (255,000) | Miami at Night From Above | Skyline &amp; City Lights 4K Drone Footage (251,000) | The Streets of Chicago | Downtown &amp; Iconic Streets 4K Drone Footage (124,000)</t>
  </si>
  <si>
    <t xml:space="preserve">Gossibly</t>
  </si>
  <si>
    <t xml:space="preserve">Roseanne Barr EXPOSES Dolly Parton’s Final WARNING About Epstein &amp; Hollywood’s Dark Secrets (274,000) | Jim Carrey Reveals What Dolly Parton Knew — Joe Rogan Is Left SPEECHLESS (185,000) | Dave Chappelle EXPOSES Ellen DeGeneres — Is She Next After Diddy? (71,000) | Roseanne Barr Broke the Silence—Then Dolly Parton’s Dark Warning Resurfaced (65,000)</t>
  </si>
  <si>
    <t xml:space="preserve">Ashwarden Horror</t>
  </si>
  <si>
    <t xml:space="preserve">HORROR</t>
  </si>
  <si>
    <t xml:space="preserve">Korku hikayesi anlatımı</t>
  </si>
  <si>
    <t xml:space="preserve">horror stories</t>
  </si>
  <si>
    <t xml:space="preserve">I'm the Only Fire Lookout for 40 Miles. Something Climbs Up at Night | Creepypasta (134,000) | I Took a Job in Appalachia. Locals Gave Me 5 Rules for Darkness  Creepypasta (33,000) | A Park Ranger Opened an Abandoned Fire Tower and Found Something (32,000) | I Took a Job in the Wilderness. They Gave Me 9 Rules to Survive (29,000)</t>
  </si>
  <si>
    <t xml:space="preserve">Momentos De Milagro</t>
  </si>
  <si>
    <t xml:space="preserve">disaster and accidents, crime, news</t>
  </si>
  <si>
    <t xml:space="preserve">Momentos Impactantes De La Vida Real Captados Por Cámaras De Seguridad #07 (2,300,000) | Momentos Impactantes De La Vida Real Captados Por Cámaras De Seguridad #04 (344,000) | Momentos Impactantes De La Vida Real Captados Por Cámaras De Seguridad #08 (192,000) | Shocking Real-Life Moments Caught on CCTV #02 (174,000)</t>
  </si>
  <si>
    <t xml:space="preserve">Warlines</t>
  </si>
  <si>
    <t xml:space="preserve">The Day 900 American Planes Appeared Over Truk — And What Japan Did Next (206,000) | Japan Sent 1,500 Men to Take Milne Bay — 9,458 Were Waiting (121,000) | The Moments Japan Thought It Had Already Won — And What Happened Next (102,000) | What Japanese Commanders Said When Americans Broke Every Rule — And Won Anyway (86,000)</t>
  </si>
  <si>
    <t xml:space="preserve">Maker Wood Master</t>
  </si>
  <si>
    <t xml:space="preserve">A 60-Year-Old Carpenter’s Brilliant Pallet Wood Idea Amazed Professors! | Homemade Woodworking Tool (1,100,000) | A 60 Year Old Carpenter Turned Simple Wood Into a Genius Invention—Professionals Were Amazed! (504,000) | Most Carpenters Never Think of This Simple Wooden Invention! (301,000) | Most Carpenters Don’t Know This Money Saving Woodworking Trick — A 60 Year Old Master’s Method! (253,000)</t>
  </si>
  <si>
    <t xml:space="preserve">Rick Finance</t>
  </si>
  <si>
    <t xml:space="preserve">The 6 Wealth Levels Where Compounding Gets Insane (240,000) | The Exact Moment Compounding Becomes a Wealth Machine (203,000) | What Really Happens After Your Portfolio Hits $250K (79,000) | 5 Wealth Levels Where Money Starts Snowballing FAST (73,000)</t>
  </si>
  <si>
    <t xml:space="preserve">NovaMente X</t>
  </si>
  <si>
    <t xml:space="preserve">How China's New Invention Will Replace Your Printer Forever (1,100,000) | How a $40 Chinese Speaker Is Destroying the $18 Billion Premium Audio Business (884,000) | How AI Will Change Everything in 2027 and Most People Aren't Paying Attention (596,000) | Cómo el invento de China va a reemplazar tu televisor para siempre (los hologramas 3D están aquí) (292,000)</t>
  </si>
  <si>
    <t xml:space="preserve">Recap Manga Z</t>
  </si>
  <si>
    <t xml:space="preserve">Everyone Thinks He Spends All Day Reading Books, But He’s Actually an Invincible Martial God (54,000) | A Weak Boy Wakes Up, Leaves His Bed, and Awakens the Power of a Heavenly Demon With 1000 Souls (49,000) | He Is a Retired War God Who Opens a Restaurant to Live a Peaceful Life (39,000) | The Lazy Boy Is Trained by an Old Man for 5 Years and Returns Home as a Martial God (37,000)</t>
  </si>
  <si>
    <t xml:space="preserve">Ivan Jackson</t>
  </si>
  <si>
    <t xml:space="preserve">The Knife the Army Refused to Issue — So 30,000 Soldiers Bought It Themselves in Vietnam (375,000) | Why the Ka-Bar Outlasted Every Fighting Knife the Army Actually Designed (143,000) | America Built the Perfect Service Pistol — Then One Committee Threw It Away (138,000) | Why the Army Brought Back a Rifle It Had Officially Declared Dead — Without Ever Saying So (135,000)</t>
  </si>
  <si>
    <t xml:space="preserve">El Famoso Secreto</t>
  </si>
  <si>
    <t xml:space="preserve">CR</t>
  </si>
  <si>
    <t xml:space="preserve">The Sad Ending for 15 Action Movie Actors from the 80s and 90s (647,000) | 9 Mexican Actresses Are Rotting in Jail. (468,000) | 12 REYES de la televisión hasta personajes OLVIDADOS: MUERTES trágicas y vidas tristes. (402,000) | QUINCEAÑERA (1987) in 2026: So many DEATHS and this is what happened to the cast. (207,000)</t>
  </si>
  <si>
    <t xml:space="preserve">The Sensei's Home</t>
  </si>
  <si>
    <t xml:space="preserve">JAPANLIFE</t>
  </si>
  <si>
    <t xml:space="preserve">Japon ev/yaşam alışkanlıkları</t>
  </si>
  <si>
    <t xml:space="preserve">prepping</t>
  </si>
  <si>
    <t xml:space="preserve">If The Grid Fails Tomorrow, Every Japanese Home Already Has These 7 Things (353,000) | No Electrician Needed: The Japanese Plug-In Solar Setup (224,000) | The $250 Japanese Solar Setup That Needs Zero Batteries (Runs All Day) (124,000) | The $299 Japanese SOLAR SETUP That Lasts FOREVER (Just 2hr Setup) (107,000)</t>
  </si>
  <si>
    <t xml:space="preserve">Cuentos del Rancho</t>
  </si>
  <si>
    <t xml:space="preserve">CO</t>
  </si>
  <si>
    <t xml:space="preserve">His Brother Inherited Everything and Kicked Him Out—Without Knowing the Secret the Dog Was Keeping… (544,000) | The Poorest Widow Took In 2 Elderly People… Without Knowing (422,000) | 4 Ranch Stories Video (287,000) | Her Husband Abused Her… Until One Night She Vanished Without a Trace (266,000)</t>
  </si>
  <si>
    <t xml:space="preserve">DungeonsNoWork</t>
  </si>
  <si>
    <t xml:space="preserve">DND</t>
  </si>
  <si>
    <t xml:space="preserve">D&amp;D / masa üstü RPG lore</t>
  </si>
  <si>
    <t xml:space="preserve">role playing</t>
  </si>
  <si>
    <t xml:space="preserve">Dragonborn - No, Not Like Skyrim (262,000) | The Blood War - There Are No Maidens Here You’re Gonna Die (212,000) | Warforged - Play As General Grievous, You Know You Want To (202,000) | Do or Don't - Fighter (175,000)</t>
  </si>
  <si>
    <t xml:space="preserve">San English</t>
  </si>
  <si>
    <t xml:space="preserve">American Mercenaries Found Something Hidden Inside Russian Positions (1,000,000) | Russian Troops Were Surrounded After Ukrainian Elite Forces Broke Through (685,000) | Trench Battle: Ukrainian Elite Forces Are Wiping Out Russian Troops in Hell (499,000) | Russian Female Soldier Pretended to Be Dead—But the Ukrainians Found These Things on Her (411,000)</t>
  </si>
  <si>
    <t xml:space="preserve">Homestead Wellness</t>
  </si>
  <si>
    <t xml:space="preserve">20 Omega-3 Rich Foods That Help Reverse Aging — But Most People Never Eat (243,000) | 20 Drinks That Restore Your Body While You Sleep — Wake Up Strong as an Ox (164,000) | 20 Foods the World’s Longest-Living People Eat Regularly — But Most People Never Eat (31,000) | 20 Fermented Foods Your Gut Is Begging For — But Most People Never Eat Them (1,600)</t>
  </si>
  <si>
    <t xml:space="preserve">NerdHistory</t>
  </si>
  <si>
    <t xml:space="preserve">Which Historical Army Can Hold LOTR Helm's Deep? (263,000) | Could 10 Modern Marines Hold Bunker Hill? (262,000) | Could 6 Navy SEALs Survive WW2 Nazi Berlin? (211,000) | Could 10 Modern US Rangers Hold The Alamo? (204,000)</t>
  </si>
  <si>
    <t xml:space="preserve">Ignite Drama</t>
  </si>
  <si>
    <t xml:space="preserve">scifi stories</t>
  </si>
  <si>
    <r>
      <rPr>
        <sz val="10"/>
        <rFont val="Arial"/>
        <family val="0"/>
        <charset val="1"/>
      </rPr>
      <t xml:space="preserve">💥The Man Humiliated In Public Turns Out To Be The Realm‑Guarding War God Holding The Tiger Talisman! (244,000) | Dilapidated Sect Master: 10,000x Return System for Recruiting Disciples, Level Up Nonstop! (173,000) | [FULL] He Reveals His True Self, The Hidden Dragon Arrives</t>
    </r>
    <r>
      <rPr>
        <sz val="10"/>
        <rFont val="WenQuanYi Zen Hei"/>
        <family val="2"/>
      </rPr>
      <t xml:space="preserve">！ </t>
    </r>
    <r>
      <rPr>
        <sz val="10"/>
        <rFont val="Arial"/>
        <family val="0"/>
        <charset val="1"/>
      </rPr>
      <t xml:space="preserve">(161,000) | [FULL] Era of Myth: My Clone Is the Primordial Ancient Dragon!🦖 (137,000)</t>
    </r>
  </si>
  <si>
    <t xml:space="preserve">Unmapped Origins</t>
  </si>
  <si>
    <t xml:space="preserve">Scientists Reveal The Real Genetic Origin Of Kashmiris — It's Not What You Think (499,000) | Scientists Finally Solved the Real Bengali DNA Mystery — After Centuries Of Debate (278,000) | If You Have These Malayali Surnames — Ancient Dna Finally Revealed Your True Ancestors (165,000) | Scientists Traced South African Coloured Dna — What They Found Was Unexpected (129,000)</t>
  </si>
  <si>
    <t xml:space="preserve">Shots Fired West</t>
  </si>
  <si>
    <t xml:space="preserve">WILDWEST</t>
  </si>
  <si>
    <t xml:space="preserve">Vahşi Batı kanun kaçakları</t>
  </si>
  <si>
    <t xml:space="preserve">Johnny Ringo: The Most Dangerous Man In Tombstone (318,000) | Doc Holliday: The Dying Outlaw Who Was Impossible To Kill (240,000) | Sam Burchfield: The Outlaw So Violent They Erased Him From History (127,000) | Fat Alice Abbott: The Most Powerful Woman on El Paso's Devil's Playground (82,000)</t>
  </si>
  <si>
    <t xml:space="preserve">John Keller</t>
  </si>
  <si>
    <t xml:space="preserve">AT</t>
  </si>
  <si>
    <t xml:space="preserve">The Complete History of the Bonanno Family (49,000) | The Complete History of the GAMBINO Crime Family (32,000) | The Complete History of the Mafia Commission (26,000) | The Complete History of the Lucchese Family (24,000)</t>
  </si>
  <si>
    <t xml:space="preserve">Geopolítica al Descubierto</t>
  </si>
  <si>
    <t xml:space="preserve">geo politics, military, news</t>
  </si>
  <si>
    <t xml:space="preserve">Three Iranian pilots against the USS Lincoln: the last one got within 22 km (286,000) | Three submarines went up against a US aircraft carrier and made a fatal mistake (271,000) | Iran sent 150 speedboats against a destroyer and the B-1 dropped 6,720 smart bombs (225,000) | The Hidden Aircraft Carrier Laser That Left the Iranian Attack Defenseless (166,000)</t>
  </si>
  <si>
    <t xml:space="preserve">Brian's Criminal unmasking: CRIME</t>
  </si>
  <si>
    <t xml:space="preserve">Nolan Wells LATEST update: Whatsapp messages between 2 suspects REVEALS everything (189,000) | FIGURED OUT!!! Nolan's throat isn't just missing - It was BADLY DAMAGED!!! (137,000) | Nolan wells CURRENT update: Murdered for being black and charming (127,000) | Nolan Wells BIZARRE update: Nolan smash a lady on the boat thereby annoying the others to murder him (78,000)</t>
  </si>
  <si>
    <t xml:space="preserve">José Hernández</t>
  </si>
  <si>
    <t xml:space="preserve">The DISGUSTING Lie Edith González Maintained Until Her Last Breath (578,000) | Paco Stanley: His Own Son Just Confessed the Disgusting Truth (452,000) | The Dark Secret Walter Mercado Begged to Keep Hidden (402,000) | Juan Gabriel: What His Mother Did to Him Explains Why He Disappeared (349,000)</t>
  </si>
  <si>
    <t xml:space="preserve">Observador Real</t>
  </si>
  <si>
    <t xml:space="preserve">La princesa Ana ACABA con Camila por vengar a Diana. ¡Su jugada ATERRÓ a Gran Bretaña, hasta William (646,000) | William EXPLODES with FURY! Camilla's daughter HITS Princess Anne in a PUBLIC CONFRONTATION! (231,000) | William DEJA EN SHOCK a la familia de Camilla Abogados CONFIRMAN que el patrimonio ya no es suyo hoy (178,000) | ¡William y Catherine CONFIRMAN noticia IMPACTANTE! Carlos DECIDE apartarse, y Camila QUEDA EN LLANTO (169,000)</t>
  </si>
  <si>
    <t xml:space="preserve">When Football Was Football</t>
  </si>
  <si>
    <t xml:space="preserve">american football</t>
  </si>
  <si>
    <t xml:space="preserve">20 NFL Rules From the 1970s That Would Be Unthinkable Today (152,000) | 25 Things Every 1970s NFL Fan Remembers That Football Has Lost Forever (88,000) | 25 FORGOTTEN NFL Players Every Kid Knew in the 1970s (78,000) | 20 Things NFL Players Did at Halftime in the 1970s That Would Shock Teams Today (70,000)</t>
  </si>
  <si>
    <t xml:space="preserve">Animales y Datos 🇪🇸</t>
  </si>
  <si>
    <t xml:space="preserve">Who do mosquitoes bite the most? (2,100,000) | ARMADILLO: WHY DOES IT GIVE BIRTH TO QUADRUPLETS? (582,000) | THE HORSE. WHY DOES IT SLEEP STANDING UP AND FEAR TO LIE DOWN? (402,000) | Who do bees sting the most? (290,000)</t>
  </si>
  <si>
    <t xml:space="preserve">Mateo Explains</t>
  </si>
  <si>
    <t xml:space="preserve">Every Confusing Idea You Were Never Properly Taught Explained Slowly (For Sleep) (149,000) | Every Confusing Fact About Parallel Universes Explained Slowly (For Sleep) (87,000) | Every Confusing Thing About Consciousness Explained Slowly (For Sleep) (54,000) | Every Confusing Thing About Entropy Explained Slowly (For Sleep) (50,000)</t>
  </si>
  <si>
    <t xml:space="preserve">Planet Odyssey 4K</t>
  </si>
  <si>
    <t xml:space="preserve">THE DEEP OCEAN | Journey Through Earth's Darkest Living Frontier Beyond the Reach of Sunlight (71,000) | MARINE LIFE | The Great Ocean Journey Across Coral Kingdoms, Open Seas and the Deep Blue World (61,000) | OCEAN KINGDOM | The Empire Beneath the Waves Where Coral Cities and Life Rule the Endless Blue (34,000) | SMALL WONDERS | Tiny Lives, Secret Alliances and the Hidden Art of Survival Beneath the Waves (17,000)</t>
  </si>
  <si>
    <t xml:space="preserve">The Lost Anthropologist</t>
  </si>
  <si>
    <t xml:space="preserve">history, science, space &amp; exploration</t>
  </si>
  <si>
    <t xml:space="preserve">They Scanned Beneath the Pyramids from Space! (555,000)</t>
  </si>
  <si>
    <t xml:space="preserve">Dark Wild Archives</t>
  </si>
  <si>
    <t xml:space="preserve">Biologists Finally Know What's Hunting Black Bears in Smoky Mountains — And No One Can Believe It (810,000) | The Bobcats in the Midwest Are Turning Into Something Bigger — And Nobody Knows Why (262,000) | Jaguars in Arizona Are Growing Far Bigger Than They Should — And No One Can Explain Why (182,000) | Scientists Finally Found What's Hunting Coyotes in Pennsylvania — And It Shouldn't Be Possible (154,000)</t>
  </si>
  <si>
    <t xml:space="preserve">Der Tagesblick</t>
  </si>
  <si>
    <t xml:space="preserve">european politics</t>
  </si>
  <si>
    <t xml:space="preserve">🚨 ER ZERLEGT MERZ UND SEIN KABINETT – MAISCHBERGER KANN ES KAUM FASSEN! (172,000) | 😡 “WHO WANTS TO WORK AFTER 68?” – PRECHT AND LANZ DISCUSS ECONOMIC METHODS! (157,000) | ❗ JURIST NIMMT RICARDA LANG AUSEINANDER – DANN BRICHT DAS PUBLIKUM IN GELÄCHTER AUS! (155,000) | 🔥 UWE STEIMLE RUTHLESSLY SETTLES THE SCORE WITH OUT-OF-TOUCH CELEBS! (144,000)</t>
  </si>
  <si>
    <t xml:space="preserve">Lighthouse Mysteries</t>
  </si>
  <si>
    <t xml:space="preserve">The 1955 Kentucky Alien Encounter (310,000) | The TRUE Story of Robert the Doll (137,000) | The STRANGE Mystery of the Betz Sphere (78,000) | The Night Brazil Sent Fighter Jets After 21 UFOs (49,000)</t>
  </si>
  <si>
    <t xml:space="preserve">BittenPear</t>
  </si>
  <si>
    <t xml:space="preserve">The Great Return Of Piracy (536,000) | Every Reason to Use Piracy in 2026 (360,000) | HP Printers Are Completely F*cked. (313,000) | Anime Piracy Is Morally Correct And You Should Do It. (254,000)</t>
  </si>
  <si>
    <t xml:space="preserve">When You Die</t>
  </si>
  <si>
    <t xml:space="preserve">Man Meets Jesus and Learns What Unites Every Soul in Heaven | NDE Carlos Vivas (392,000) | During His NDE, He Asked God About Other Worlds and Why We’re Here | NDE Wayne Morrison (391,000) | Surgeon Struck by Lightning Dies &amp; Comes Back With an Ability He Never Had | Tony Cicoria NDE (197,000) | She Died During Childbirth and Learned What Really Matters After Death | NDE Jayne Smith (134,000)</t>
  </si>
  <si>
    <t xml:space="preserve">Persimmon Archive</t>
  </si>
  <si>
    <t xml:space="preserve">The Rise and Fall of Adams Golf: The $70 Million Mistake Golfers Never Forgave (318,000) | The Rise and Fall of Cobra Golf: The $700 Million Deal That Killed Greg Norman's Brand (223,000) | The Rise and Fall of Nike Golf: The $500 Million Mistake (152,000) | How Just One Mistake Destroyed Jack Nicklaus's Golf Brand (107,000)</t>
  </si>
  <si>
    <t xml:space="preserve">Uncut Interrogation</t>
  </si>
  <si>
    <t xml:space="preserve">Killer Wife Realizes She's Caught in Her Husband's Murder Redhanded | Police Interrogation (293,000) | 26 Y/O Man Has No Idea He's About to be Arrested For Murdering An Innocent Man (151,000) | Killer Mom Kills 6 Year Old Son, Throws Him Into The Ohio River, Reports Him Missing (136,000) | Killer Truck Driver Runs Over 64 Y/O Mother, Has Sex With Her Body Then Dumps Her on the Road (115,000)</t>
  </si>
  <si>
    <t xml:space="preserve">Mr. Finance</t>
  </si>
  <si>
    <t xml:space="preserve">The Economics of Owning a Gym (304,000) | The Economics of Owning a Cafe (221,000) | The Economics of Owning a Ranch (185,000) | The Economics of Owning a Private Equity Firm (142,000)</t>
  </si>
  <si>
    <t xml:space="preserve">Kings, Queens &amp; Crowns</t>
  </si>
  <si>
    <t xml:space="preserve">William and Catherine Give Britain a Powerful Glimpse of Its Royal Future (56,000) | Prince George Makes William Proud as the Next Generation Steps Up (46,000) | Princess Anne’s Incredible Loyalty to the Crown Wins Admiration (25,000) | Sophie’s Quiet Dedication Makes Her One of the Royal Family’s Greatest Strengths (24,000)</t>
  </si>
  <si>
    <t xml:space="preserve">LOG CABIN TV</t>
  </si>
  <si>
    <t xml:space="preserve">RESTORE</t>
  </si>
  <si>
    <t xml:space="preserve">Ev restorasyon / kütük ev inşa</t>
  </si>
  <si>
    <t xml:space="preserve">Man Spends Millions Building His Dream Home in Just 6 Months | Start to Finish@kbuild (306,000) | Couple Builds a DIY Brick and Clay Pizza Oven in the Forest | Start to Finish @OffGridLife (269,000) | Man Builds a Massive Garage on His Farm | Full Construction @shotslife (245,000) | Couple spends 3 years renovating an abandoned French house into their dream home | by@Renovacile (230,000)</t>
  </si>
  <si>
    <t xml:space="preserve">El universo pensante</t>
  </si>
  <si>
    <t xml:space="preserve">If clouds contain tons of water... why don't they fall from the sky? | Penrose reveals the paradox (894,000) | ¿Por qué las personas inteligentes creen en Dios? Roger Penrose da una respuesta brutal (425,000) | Why would God create two trillion galaxies? | Roger Penrose (399,000) | 🧲 Where Does a Magnet's Energy Come From? The Mystery That Physics Reveals | Sir Roger Penrose (345,000)</t>
  </si>
  <si>
    <t xml:space="preserve">CG Grows</t>
  </si>
  <si>
    <t xml:space="preserve">2026-07-09</t>
  </si>
  <si>
    <t xml:space="preserve">The parasite incremental game where you infest a planet that FIGHTS BACK (526,000) | I need more creepy incremental games like this... (141,000) | An infection incremental game about growing your germ army (106,000) | The swarm incremental game where you devour everything but your food FIGHTS BACK (87,000)</t>
  </si>
  <si>
    <t xml:space="preserve">Xuesong Theater</t>
  </si>
  <si>
    <r>
      <rPr>
        <sz val="10"/>
        <rFont val="Arial"/>
        <family val="0"/>
        <charset val="1"/>
      </rPr>
      <t xml:space="preserve">The righteous genius surprisingly got adopted by the villain's family after reincarnation (336,000) | </t>
    </r>
    <r>
      <rPr>
        <sz val="10"/>
        <rFont val="WenQuanYi Zen Hei"/>
        <family val="2"/>
      </rPr>
      <t xml:space="preserve">【</t>
    </r>
    <r>
      <rPr>
        <sz val="10"/>
        <rFont val="Arial"/>
        <family val="0"/>
        <charset val="1"/>
      </rPr>
      <t xml:space="preserve">Multi Sub</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EP1-60</t>
    </r>
    <r>
      <rPr>
        <sz val="10"/>
        <rFont val="WenQuanYi Zen Hei"/>
        <family val="2"/>
      </rPr>
      <t xml:space="preserve">｜</t>
    </r>
    <r>
      <rPr>
        <sz val="10"/>
        <rFont val="Arial"/>
        <family val="0"/>
        <charset val="1"/>
      </rPr>
      <t xml:space="preserve">God of War#ai #anime #dance (53,000) | He entered the apocalypse early and used the system to achieve the Supreme God Emperor. (32,000) | A poor guy somehow gets five million every day—but he can only spend it in his own county (27,000)</t>
    </r>
  </si>
  <si>
    <t xml:space="preserve">pawlegend</t>
  </si>
  <si>
    <t xml:space="preserve">PETS</t>
  </si>
  <si>
    <t xml:space="preserve">Köpek kurtarma hikayeleri</t>
  </si>
  <si>
    <t xml:space="preserve">pets</t>
  </si>
  <si>
    <t xml:space="preserve">She Adopted 5 Giant Dogs Everyone Rejected—They Never Left Her Side Again (284,000) | This 135lb Cane Corso REFUSES to Let Anyone Near His Puppies—Except One Person (283,000) | This Rare Albino Doberman Can't See Well—So His Brother Never Leaves His Side (225,000) | 150lb Cane Corso Won't Let Anyone Touch Her Puppies—Except One Man (178,000)</t>
  </si>
  <si>
    <t xml:space="preserve">Causality</t>
  </si>
  <si>
    <t xml:space="preserve">The Last Person on Earth | Sci-Fi Short Film (1,600,000) | The Megatsunami That Struck the Entire Planet (1,100,000) | Interstellar’s Untold Story: Cooper and Dr. Brand Colonizing Edmunds' Planet (1,100,000) | Forever Inside | Sci-Fi Short Film (493,000)</t>
  </si>
  <si>
    <t xml:space="preserve">Cold Cases Solved</t>
  </si>
  <si>
    <t xml:space="preserve">WISCONSIN 1974 Cold Case Solved After 50 Years — Her Killer Was Finally Caught at 84 (216,000) | FLORIDA 1975 Cold Case Solved After 50 Years — Two Girls, One Van, Never Came Home (126,000) | INDIANA 1972 Cold Case Solved After 53 Years — Her 3-Year-Old Was Left Alive (44,000) | MISSISSIPPI 1964 Cold Case Solved After 41 Years — The Killer Was a Preacher (42,000)</t>
  </si>
  <si>
    <t xml:space="preserve">Epicenter Files</t>
  </si>
  <si>
    <t xml:space="preserve">The Day a Mountain Collapsed and Buried 20,000 People Alive: Yungay 1970 (493,000) | The Day an Island Exploded and Killed 36,000 People Overnight: Krakatoa 1883 (227,000) | The Strongest Earthquake in American History: Alaska 1964 (196,000) | The Strongest Earthquake in Recorded History: Valdivia 1960 (138,000)</t>
  </si>
  <si>
    <t xml:space="preserve">Inside Engineering</t>
  </si>
  <si>
    <t xml:space="preserve">How Formula 1 Moves Its Cars Around the World - At A Billion Dollar Cost (270,000) | Inside Shell's Billion-Dollar Oil Refinery | FULL DOCUMENTARY (233,000) | Loading A 127-Ton Locomotive Onto A Ferry | MegaShippers (166,000) | Building Britain's $3 Billion Warship | MegaShippers (130,000)</t>
  </si>
  <si>
    <t xml:space="preserve">Bible Unlocked</t>
  </si>
  <si>
    <t xml:space="preserve">the truth about overthinking that Christians need to hear (184,000) | Overthinking Isn’t a Weakness — It’s a Wound God Wants to Heal (146,000) | How Spiritually Mature Christians Love Without Being Taken Advantage Of | Bible Unlocked (105,000) | How to Control Your Thoughts: 9 Biblical Steps to Renew Your Mind (104,000)</t>
  </si>
  <si>
    <t xml:space="preserve">Stove &amp; Tell</t>
  </si>
  <si>
    <t xml:space="preserve">cooking</t>
  </si>
  <si>
    <t xml:space="preserve">3 secrets to the most tender meatloaf you'll ever make! Juicy every single time. (361,000) | The most famous dish that's driving the world crazy! A delicious and easy beef osso buco dinner. (321,000) | l've Never Eaten Ground Beef and Potatoes This Delicious! My family asks for this every day! (236,000) | l've Never Had Chicken This Delicious! Creamy Mushroom Sauce That Drives Everyone Crazy! (198,000)</t>
  </si>
  <si>
    <t xml:space="preserve">Military Storm</t>
  </si>
  <si>
    <t xml:space="preserve">Ukraine Let 1,800 Russian Troops Push Through the Front Line — Then BLEW Their Formation Apart (215,000) | Ukraine WAITS for a Russian S-400 to Fire to Save Kerch Bridge — Then BLOWS IT UP! (179,000) | Ukraine LURED Russia’s Disguised Supply Train Onto the Bridge — Then BLEW IT APART (177,000) | Ukraine Watched Russia Fill an 800-Ton Ammo Depot for the Luhansk Front — Then BLEW IT UP (170,000)</t>
  </si>
  <si>
    <t xml:space="preserve">Hollywood Whispers</t>
  </si>
  <si>
    <t xml:space="preserve">RS</t>
  </si>
  <si>
    <t xml:space="preserve">15 TV Actresses Who Turned Out to Be Monsters Off Camera.. (201,000) | 11 Most Arrogant Classic TV Actresses (106,000) | 13 Classic TV Actresses Who Were Nothing Like They Seem (99,000) | 13 Hollywood Actresses Forced to Hide Their Real Height (78,000)</t>
  </si>
  <si>
    <t xml:space="preserve">ForgedOrigins</t>
  </si>
  <si>
    <t xml:space="preserve">earth sciences</t>
  </si>
  <si>
    <t xml:space="preserve">What Fills the Empty Space After Oil Is Gone? (1,400,000) | Arkansas Found Something Better Than Oil (71,000) | Why America’s Largest Oil Discovery Shouldn’t Exist (12,000) | Why Was America's Largest Natural Gas Deposit Ignored for 120 Years? (5,300)</t>
  </si>
  <si>
    <t xml:space="preserve">inkly</t>
  </si>
  <si>
    <t xml:space="preserve">Why Desert People Wear More Clothes in Extreme Heat? (2,200,000) | How Did Ancient Egyptians Sleep in Desert Heat Without Air Conditioning? (801,000) | Why Drinking Cold Water in Extreme Heat Can Make You Hotter? (11,000) | Why Don't Humans Eat Predators ? (9,000)</t>
  </si>
  <si>
    <t xml:space="preserve">Children's Messages Review</t>
  </si>
  <si>
    <t xml:space="preserve">The Hidden Burden in "Feeding the 5000" | Children's Messages Review (115,000) | The Hidden Pressure in "Jesus Calms the Storm" | Children's Messages Review (104,000) | The Hidden Pressure of "Sharpen Your Pencil" | Children's Messages Review (101,000) | The Problem with "The Power of Integrity" | Children's Messages Review (95,000)</t>
  </si>
  <si>
    <t xml:space="preserve">Boethiah's Blockbusters</t>
  </si>
  <si>
    <t xml:space="preserve">I Became Spiderman and DESTROYED EVERYTHING! (330,000) | Can We Survive From The Evil Verity? (201,000) | We Found Verity Working At Taco Bell (147,000) | Can We Escape From EVIL Verity!!! (47,000)</t>
  </si>
  <si>
    <t xml:space="preserve">Canard Redditor</t>
  </si>
  <si>
    <t xml:space="preserve">La femme que mon mari utilisait comme ma remplaçante m'a trouvée dans sa villa privée. Elle... (67,000) | Mon mari milliardaire a toujours été persuadé que je l'avais épousée uniquement pour son argent... (54,000) | Ma mère m'a jetée hors de la voiture à l'âge de six ans parce que j'ai hésité sur 1 plus 1. Au... (38,000) | Dans ma première vie, j'ai divorcé de mon mari à cause de son assistante et je suis morte ruinée... (35,000)</t>
  </si>
  <si>
    <t xml:space="preserve">Estudio Criminal</t>
  </si>
  <si>
    <t xml:space="preserve">El PERRO QUE LO SALVO DE UN CRIMEN - DOCUMENTAL COMPLETO - ESTUDIO CRIMINAL (448,000) | La mujer del desagüe - DOCUMENTAL COMPLETO - ESTUDIO CRIMINAL (289,000) | EL creador de jabón - CASO COMPLETO - ESTUDIO CRIMINAL (181,000) | THE CASE OF THE CONDEMNED - FULL DOCUMENTARY - ESTUDIO CRIMINAL (149,000)</t>
  </si>
  <si>
    <t xml:space="preserve">Manhwa Resumen TV</t>
  </si>
  <si>
    <t xml:space="preserve">He Rejects His Wealthy Family and Uses a System to Spend Billions Every Day (244,000) | She Installs Cameras to Spy on Her "Useless" Husband, Not Knowing He’s an Elite International Chef (227,000) | I Secretly Changed Schools to Avoid My Two Best Friends and Found My True Love (210,000) | Finge Ser un Sinvergüenza para Romper el Compromiso, sin Saber que Ella Puede Leer Mentes (172,000)</t>
  </si>
  <si>
    <t xml:space="preserve">Expediente Nocturno</t>
  </si>
  <si>
    <t xml:space="preserve">6 ENCUENTROS PARANORMALES Más ATERRADORES Captados por la POLICÍA (1,000,000) | 8 Most TERRIFYING PARANORMAL ENCOUNTERS Caught by POLICE (1,000,000) | 6 GRABACIONES PARANORMALES Más PERTURBADORAS Captadas por la POLICÍA (962,000) | 7 URBAN EXPLORATION STREAMS That Ended HORRIBLY WRONG (407,000)</t>
  </si>
  <si>
    <t xml:space="preserve">ZENO</t>
  </si>
  <si>
    <t xml:space="preserve">How Did ANCIENT INUIT Igloos Stay Warm at -50°C With NO Electricity? (2,200,000) | How Did ANCIENT GREENLAND HOUSES Stay Warm at -50°C With NO Electricity? (283,000) | How Did VIKING LONGHOUSES Stay Warm at -30°C With No Electricity? (107,000) | How ANCIENT PERSIANS Kept ICE Frozen in 50°C Heat With NO Electricity (98,000)</t>
  </si>
  <si>
    <t xml:space="preserve">Stoic Lens Growth</t>
  </si>
  <si>
    <t xml:space="preserve">10 Things You Must QUIETLY Eliminate From Your Life — Don’t Tell ANYONE | Stoicism (223,000) | Nobody Cares About You — Stop Seeking Approval and Take Back Your Power | Stoicism (88,000) | HAPPIER EVERY DAY — 12 Tiny Stoic Habits That TRANSFORM Your Life | Stoicism (37,000) | STOP REACTING — 10 Stoic Rules That Make You IMPOSSIBLE to Provoke | Master Your Emotions (33,000)</t>
  </si>
  <si>
    <t xml:space="preserve">Hostile Planet</t>
  </si>
  <si>
    <t xml:space="preserve">Africa's Predators | Strength vs Pride: The Untamed Rules of Survival | Wildlife Documentary (323,000) | Africa's Predators | Clash of Giants for the Serengeti Throne | Wildlife Documentary (184,000) | African Predators | The Deadliest Battles of the Serengeti #wildlifedocumentary (120,000) | Serengeti | The Ultimate Predators | Silent Mothers in a Harsh World | Wildlife Documentary (74,000)</t>
  </si>
  <si>
    <t xml:space="preserve">Umbral Cuántico</t>
  </si>
  <si>
    <t xml:space="preserve">El ADN Dijo lo que Significa Tener SANGRE Cero POSITIVO (756,000) | La Sonda Llegó a Plutón: ¡LO QUE VIO FUE IMPOSIBLE! (622,000) | ¿Tienes los OJOS VERDES? El ADN Desveló de Dónde Provienen (308,000) | Voyager 1's Last Message: What NASA Found (168,000)</t>
  </si>
  <si>
    <t xml:space="preserve">Club Balls</t>
  </si>
  <si>
    <t xml:space="preserve">soccer</t>
  </si>
  <si>
    <t xml:space="preserve">How Every Countryball Reached the Round of 16⚽️ | FIFA World Cup 2026 🏆 (862,000) | How Spain Won the 2026 World Cup 🏆🇪🇸 | in Countryballs 🌎 (306,000) | All UEFA Champions League Winners (1956_2026)🏆 |  Countryballs! ⚽ (77,000) | All FIFA World Cup Winners (1930–2026)🏆 |Countryballs ⚽ (75,000)</t>
  </si>
  <si>
    <t xml:space="preserve">Punto Crítico</t>
  </si>
  <si>
    <t xml:space="preserve">Check out 15 Televisa heartthrobs from the 70s and 80s that no one would recognize today (239,000) | 9 Famous Stars of Mexican Sex Cinema Who Ended Up With Nothing (200,000) | Critical Point 74 (152,000) | 17 Actores DESTRUIDOS por las Drogas (129,000)</t>
  </si>
  <si>
    <t xml:space="preserve">MonarchArchive</t>
  </si>
  <si>
    <t xml:space="preserve">Harry’s Mystery Woman REVEALED By Tom Bower &amp; Piers Morgan As Meghan SNAPS! (139,000) | Meghan's Interview EXPOSED As Oprah FINALLY REVEALS What Really Happened! (76,000) | Meghan Markle's First Husband BREAKS SILENCE On Harry Is Living My Life Claim! (69,000) | Meghan Markle FACES CUSTODY CRISIS As Shocking UK Divorce Details EMERGE! (63,000)</t>
  </si>
  <si>
    <t xml:space="preserve">Pecas Explica</t>
  </si>
  <si>
    <t xml:space="preserve">PE</t>
  </si>
  <si>
    <t xml:space="preserve">Every Famous Paradox Explained in 15 Minutes (1,200,000) | Sleep Glitches Your Brain Commits Without You Knowing (961,000) | Common Deformities You HAVE Without Knowing It (766,000) | Every Disaster That Changed History, Explained (397,000)</t>
  </si>
  <si>
    <t xml:space="preserve">True Crime Fam</t>
  </si>
  <si>
    <t xml:space="preserve">FBI Releases Full Statement as Nolan's Friend Finally Breaks Silence... New Audio Changes the Case (557,000) | Katie Never Expected This Footage to Surface—Nolan Wells BOMBSHELL (370,000) | Nolan Wells: White Lady Breaks Silence on How He Died &amp; Cajun Navy Breaks Down New Boat Timeline (206,000) | Nolan Wells UPDATE: He Disappeared. They Found Him. Then Came These Disturbing Group Chat Messages (100,000)</t>
  </si>
  <si>
    <t xml:space="preserve">Abgelegenes Deutschland</t>
  </si>
  <si>
    <t xml:space="preserve">REALESTATE</t>
  </si>
  <si>
    <t xml:space="preserve">Boş kasabalar, ucuz evler, emeklilik yerleri</t>
  </si>
  <si>
    <t xml:space="preserve">real estate</t>
  </si>
  <si>
    <t xml:space="preserve">EMPTY GERMANY – Houses for €19,000, but NO ONE wants them (314,000) | 12 Places in Germany Where House Prices Are So Low... You'll Think It's a Scam (216,000) | 12 Quiet Places in Germany Where Retirees Can Live Worry-Free on €1,180 a Month (163,000) | Why more and more retirees are moving to the North Sea – 10 places where your pension REALLY stil... (118,000)</t>
  </si>
  <si>
    <t xml:space="preserve">The Yi Mindset</t>
  </si>
  <si>
    <t xml:space="preserve">speeches</t>
  </si>
  <si>
    <t xml:space="preserve">When You Focus on Yourself &amp; Stay Silent, Everything Falls Into Place -| Shi Heng Yi Wisdom (264,000) | Learn How to Punish People Without Revenge | Best Motivational Speech Shi Heng Yi (14,000) | These 7 Behaviors Quietly Teach People Your Worth || SHI HENG YI || Shaolin Master Motivation (12,000) | How to Outsmart Anyone: 5 Rules for Total Dominance | Shi Heng Yi Wisdom (8,300)</t>
  </si>
  <si>
    <t xml:space="preserve">The Fame Insider</t>
  </si>
  <si>
    <t xml:space="preserve">MRBEAST LOST CHANDLER.. AND HERE’S WHY (387,000) | Remember Jack Doherty? He is GONE now.. (121,000) | MRBEAST IS LOSING EVERYTHING.. (107,000) | His TEAM Exposed HIM.. (99,000)</t>
  </si>
  <si>
    <t xml:space="preserve">The Desk Standard</t>
  </si>
  <si>
    <t xml:space="preserve">7 Ballpoint Pens That ABSOLUTELY DESTROY Montblanc (For a Fraction of the Price) (255,000) | 8 Japanese Stationery Legends Hiding on Amazon (All Under $30) (87,000) | 7 Walmart Fountain Pens Everyone Ignores (But They're Absolute GOLDMINES) (37,000) | 10 Amazon Fountain Pens Everyone Ignores (But They're Absolute GOLDMINES) (27,000)</t>
  </si>
  <si>
    <t xml:space="preserve">Venn Stories</t>
  </si>
  <si>
    <t xml:space="preserve">How Did Ancient Women Handle Their First Period? (1,100,000) | Why Do Humans Have Pubic Hair? (219,000) | Why Did Humans Start Hiding Sex? (70,000) | The Evolutionary Mystery of Human Orgasm (46,000)</t>
  </si>
  <si>
    <t xml:space="preserve">Veiled Mind</t>
  </si>
  <si>
    <t xml:space="preserve">psychology, self improvement, motivational videos</t>
  </si>
  <si>
    <t xml:space="preserve">THEY SENT AN AI TO PROFILE YOU IT STARTED QUESTIONING ITS OWN CREATORS 🤖💀 (104,000) | THEY HIRED A DETECTIVE TO DIG UP YOUR PAST HE CAME BACK AND SAID LEAVE THIS ONE ALONE 🕵️😳 (44,000) | YOU WEREN'T SUPPOSED TO SURVIVE THAT YEAR   , AND NOW THEY'RE RETRAINING THEIR ENTIRE SYSTEM 😳� (35,000) | THE ALGORITHM KEEPS HIDING YOUR CONTENT FROM YOUR ENEMIES  LIKE IT KNOWS SOMETHING 📱👁JOKER SPEECH (33,000)</t>
  </si>
  <si>
    <t xml:space="preserve">Wood Creation</t>
  </si>
  <si>
    <t xml:space="preserve">5 Never-Before-Seen Wood Corner Joinery Ideas from a 60-Year-Old Carpenter | Wood Creation (968,000) | Top 5 Wood Corner Joinery Techniques Created by a 60-Year-Old Master Carpenter (765,000) | 5 Wood Corner Joinery Secrets from a 60-Year-Old Master Carpenter That Few People Know (755,000) | Extremely Strong Wood Corner Joinery Few People Know – Revealed by a 60-Year-Old Master Carpenter (682,000)</t>
  </si>
  <si>
    <t xml:space="preserve">Mr. White</t>
  </si>
  <si>
    <t xml:space="preserve">FITNESS</t>
  </si>
  <si>
    <t xml:space="preserve">Fitness</t>
  </si>
  <si>
    <t xml:space="preserve">fitness</t>
  </si>
  <si>
    <t xml:space="preserve">Things You Do After Your Workout That Stop Your Muscles From Growing (336,000) | 5 Exercises to Build Hands So Strong They’re Almost DANGEROUS (231,000) | 5 Exercises Every Man Should Do To Punch Harder (91,000) | How to Build a Body That Scares People (Straight to the Point) (65,000)</t>
  </si>
  <si>
    <t xml:space="preserve">Eastern Engine</t>
  </si>
  <si>
    <t xml:space="preserve">China’s New Robot Legs Could Replace Wheelchairs (242,000) | CHINA’S NEW ROBOTS LOOK ALMOST 100% HUMAN (95,000) | China Just Replaced Copper — And It Changes Everything (88,000) | China’s INSANE Glass Chip Just SHOOK The Entire Tech World (65,000)</t>
  </si>
  <si>
    <t xml:space="preserve">Marcus Cole</t>
  </si>
  <si>
    <t xml:space="preserve">🚨 If the Police Say "Step Out of the Car" — Say THIS (One Sentence Every US Driver Needs) (403,000) | 🚨 3 Words Cops HATE Hearing — Say Them Before You Answer Anything (192,000) | 🚨 If a Cop Asks "Are You On Any Medication?" — Say THIS (It Is Not Small Talk) (126,000) | 🚨 If an Officer Says "I Can Smell Alcohol" — Say THIS (One Sentence) (100,000)</t>
  </si>
  <si>
    <t xml:space="preserve">PropertyScope</t>
  </si>
  <si>
    <t xml:space="preserve">Why Is Nobody Buying These Northern Wisconsin Homes With Land Even at These Prices? (108,000) | Why Is Nobody Buying These Montana Homes Still for Sale in September 2026? (78,000) | Why Is Nobody Buying These Cheap Farmhouses With Acreage in 2026? (62,000) | Why Does Nobody Want These Cheap Northern Pennsylvania Farmhouses? Still For Sale in September 2026 (55,000)</t>
  </si>
  <si>
    <t xml:space="preserve">Japan Living Inside</t>
  </si>
  <si>
    <t xml:space="preserve">11 Hygiene Habits Japan Perfected That Americans Still Get Wrong (Without Knowing) (365,000) | 9 Things Japanese People Never Buy — And You Should Stop Too (257,000) | Japanese Women Don't Clean Hard — They Use These 14 Tricks Instead (147,000) | 16 Things Japanese People Throw Away From Home That You Still Keep (75,000)</t>
  </si>
  <si>
    <t xml:space="preserve">Ebiker</t>
  </si>
  <si>
    <t xml:space="preserve">cycling</t>
  </si>
  <si>
    <t xml:space="preserve">Thinking About an E-Bike After 60? Here's What Nobody Tells You (329,000) | 12 E-Bike Settings Most Riders Get Wrong on Day One (85,000) | 10 Things Seniors Wish They Knew Before Buying an E-Bike (77,000) | THOUSANDS OF AMERICANS ARE RETURNING THEIR NEW E BIKES IN 2026 — Here’s the Shocking Reason (59,000)</t>
  </si>
  <si>
    <t xml:space="preserve">CRIME &amp; ORDER</t>
  </si>
  <si>
    <t xml:space="preserve">Mackenzie Shirilla’s Prison Call Reaction to 15 More Years Behind Bars.. (152,000) | Shocking: Nobody Expected Mackenzie Shirilla To Sound Like This Behind Bars. (64,000) | July 2026: Shanann Watts’ Father RECALLS the Dark Truth of Living With Chris Watts (Full Interview) (56,000) | Mackenzie Shirilla &amp; Her Mom CALL POLICE — Newly Released Call Raises Questions (41,000)</t>
  </si>
  <si>
    <t xml:space="preserve">Dragolix</t>
  </si>
  <si>
    <t xml:space="preserve">The Light Fury Was NOT Toothless' First Love?! 😨 10 Hidden HTTYD Secrets Revealed! ❤️🐉 (495,000) | Toothless Was NEVER Meant to Be King?! 😭🐉 10 Dark HTTYD Secrets (177,000) | Toothless Was NEVER the Only Alpha?! 😱🐉 10 Hidden Things You Didn't Notice in HTTYD! (165,000) | That Wall Was Hiding Toothless's Biggest Secret?! 😨🐉 10 HTTYD Mysteries Finally Explained! 👀🔥 (103,000)</t>
  </si>
  <si>
    <t xml:space="preserve">NamenArchiv</t>
  </si>
  <si>
    <t xml:space="preserve">Wenn dein Nachname auf dieser Liste steht, zeigt das, Dass deine Familie von Hugenotten abstammt (277,000) | DIESE 20 RUSSLANDDEUTSCHEN Nachnamen, die niemand als solche erkennt – ist deiner dabei? (247,000) | Diese Karte zeigt GENAU Woher deine Familie Stammt (173,000) | The 20 German Surnames That Are Actually Jewish – Is Yours Among Them? (127,000)</t>
  </si>
  <si>
    <t xml:space="preserve">Dad Chronicles</t>
  </si>
  <si>
    <t xml:space="preserve">Black Single Dad Denied a Room in His Own Hotel — Staff Fired on the Spot (879,000) | Bank Manager Tore Up a Black Single Dad’s $5M Check—Then Her Boss Called Him “Sir” (202,000) | Doctors Gave Up on the Billionaire's Son — Then a Black Single Dad Did the Impossible (168,000) | A CEO Slapped a black Single Dad  in a Café — Then Her Bodyguard Recognized His Scar (140,000)</t>
  </si>
  <si>
    <t xml:space="preserve">Backroad Estates</t>
  </si>
  <si>
    <t xml:space="preserve">EMPTY NORTH TEXAS — Its Homes Cost $19,000 But NOBODY Wants Them (205,000) | 12 OFF-GRID North Texas Towns Retired Americans Are Quietly Moving To in 2026 (144,000) | 12 Unknown Texas Lake Towns Where Retired Americans Can Live For Almost Nothing (99,000) | 12 Texas Towns Where Retirees Live Like Millionaires on Less Than $2,000 a Month (85,000)</t>
  </si>
  <si>
    <t xml:space="preserve">The Politics Report</t>
  </si>
  <si>
    <t xml:space="preserve">WHERE IS THE MONEY - Welch EXPOSES Kash Patel's $80 Million Jet Plan !!! (263,000) | THAT'S OUR MONEY! — Rep. Himes PRESSES Bessent On $10B Intervention In Wild Exchange (244,000) | RETURN OUR MONEY! — Horsford GRILLS Bessent On $165B Refunds In Brutal Committee Showdown! (190,000) | Rep. Boyle GRILLS Scott Bessent On SOARING Inflation &amp; $4.50 Gas Prices! (170,000)</t>
  </si>
  <si>
    <t xml:space="preserve">Ruined America</t>
  </si>
  <si>
    <t xml:space="preserve">What Happened to the Tucker O-335? The Car Engine That Detroit Couldn’t Control (206,000) | America’s Forgotten Spinning Engine That Was Too Wild for the Road (98,000) | What Happened to Lycoming? The 1950s Engine Still Flying America (89,000) | What Happened to the Eisenhuth Engine? — The Forgotten Machine That Reused Its Own Exhaust (56,000)</t>
  </si>
  <si>
    <t xml:space="preserve">Mémoire du Cinéma</t>
  </si>
  <si>
    <t xml:space="preserve">William and Catherine ANNOUNCE that Camilla has been ORDERED to leave Windsor! (66,000) | William et Catherine, en larmes, révèlent pourquoi Louis a été tenu à l'écart : la nation stupéfaite (49,000) | 1 MIN AGO: King Charles has just made a heartbreaking announcement (43,000) | Catherine bloque l'accès au palais au fils de Camilla : un véritable choc ! (43,000)</t>
  </si>
  <si>
    <t xml:space="preserve">Celebrity Legends</t>
  </si>
  <si>
    <t xml:space="preserve">celebrity, pop news &amp; gossip, movie star news &amp; gossip</t>
  </si>
  <si>
    <t xml:space="preserve">At 33, Miley Cyrus Finally CONFIRMS What We All Suspected (311,000) | At 44, Britney Spears Finally REVEALS What We All Suspected (118,000) | At 36, Emma Watson Finally CONFIRMS What We All Suspected (79,000) | At 40, Amanda Bynes Finally REVEALS What We All Suspected (60,000)</t>
  </si>
  <si>
    <t xml:space="preserve">Mr. Watchman</t>
  </si>
  <si>
    <t xml:space="preserve">The Kashio Brothers: How Four Men Built Casio From a Cigarette Holder (382,000) | Patek Philippe: The Polish Exile Who Built Watches for Kings (184,000) | Seiko: The Outsider Who Beat Switzerland at Its Own Game — So They Banned Him (157,000) | Casio G-Shock: The Engineer Who Built The Unbreakable Watch (124,000)</t>
  </si>
  <si>
    <t xml:space="preserve">American Family Almanac</t>
  </si>
  <si>
    <t xml:space="preserve">PL</t>
  </si>
  <si>
    <t xml:space="preserve">24 Christmas Toys That Would NEVER Be Allowed Today (357,000) | What Christmas Looked Like In 1965 America — 20 VANISHED Traditions (223,000) | 10 Christmas Toys 1970s American Kids Begged For - Why They're Gone? (119,000) | 15 Comic Book Toy SCAMS Every American Kid Fell For (75,000)</t>
  </si>
  <si>
    <t xml:space="preserve">Ukraine Red Line</t>
  </si>
  <si>
    <t xml:space="preserve">Kremlin in panic: Putin loses control, and Russia enters a state of total collapse... (176,000) | Kazakhstan halts fuel supplies to Russia! Kremlin faces a fuel blockade (98,000) | Moscow under threat: the worst scenario becomes reality as the war comes home... (93,000) | Kremlin in panic: Putin loses control, and Russia enters a state of total collapse... (90,000)</t>
  </si>
  <si>
    <t xml:space="preserve">Tony Talks Business</t>
  </si>
  <si>
    <t xml:space="preserve">PT</t>
  </si>
  <si>
    <t xml:space="preserve">How All-You-Can-Eat Buffets Make Money (247,000) | How Thrift Stores Make Money (205,000) | How Dollar Stores Make Money (176,000) | How Pawnshops Make Money (109,000)</t>
  </si>
  <si>
    <t xml:space="preserve">Old Money Scandals</t>
  </si>
  <si>
    <t xml:space="preserve">The Purple Gang: A Jewish Mob That Built a Crime Empire That Challenged Al Capone (116,000) | The Black Hand: How One Sicilian Immigrant Built an Empire Too Ruthless Even for the American Mafia (100,000) | The Westies: The Irish Gang of Hell's Kitchen Eventhe Gambino Family Feared (62,000) | Murder Inc: The Jewish Bureau Lucky Luciano Built toRemove Anyone Who Challenged the Mafia (56,000)</t>
  </si>
  <si>
    <t xml:space="preserve">Cut Recaps</t>
  </si>
  <si>
    <t xml:space="preserve">A Secret Experiment Turns Sheep Into Flesh Eating Zombies… Then They Take Over Earth | Movie Recap (200,000) | Every 60 Years, Millions of Alien Monsters Awaken to Wipe Out Humanity | Sci-Fi Survival Movie Recap (132,000) | How This Men Escaped The World's Most Secure Island Prison | Escape From Alcatraz Movie Recap (126,000) | 30 Teenagers Are Sent to Space and Forced to Drink a Secret Liquid | Sci-Fi Movie Recap (123,000)</t>
  </si>
  <si>
    <t xml:space="preserve">Luxury POV</t>
  </si>
  <si>
    <t xml:space="preserve">Emirates First Class "Game Changer" Flight Review ✈️ Dubai to Tokyo on B777 Fully Enclosed Suite (3,800,000) | Dubai's Newest Luxury Hotel "Jumeirah Marsa Al Arab" Review 🛥️ Opened 2024 Next to Burj Al Arab (743,000) | The Most Expensive Room on Japan's Top Luxury Train | $13,000 Suite — TRAIN SUITE SHIKI-SHIMA (542,000) | Etihad "The Residence" First Class | A380 🛩️ World's Most Expensive Suite in the Sky (224,000)</t>
  </si>
  <si>
    <t xml:space="preserve">Old School Horsepower</t>
  </si>
  <si>
    <t xml:space="preserve">WEIRD VEHICLES WEDNESDAY! 14 WEIRD Vehicles for Sale Online! Craziest &amp; Most Unique Vehicles (50,000) | 14 Incredible Motorcycles For Sale Right Now Across North America | Best Bike Deals of 2026 (37,000) | 14 Kit Cars &amp; Replica Cars for Sale in North America | Incredible Custom Builds 2026 (28,000) | HEY! IT'S WEIRD VEHICLES WEDNESDAY! 10 Most Unusual Vehicles for Sale Online (24,000)</t>
  </si>
  <si>
    <t xml:space="preserve">WIRED Investigations</t>
  </si>
  <si>
    <t xml:space="preserve">2016-10-06</t>
  </si>
  <si>
    <t xml:space="preserve">Shenzhen: The Silicon Valley of Hardware (Full Documentary) | Future Cities | WIRED (15,000,000) | We Tracked Every Visitor to Epstein Island | WIRED (7,800,000) | I 3D-Printed Luigi Mangione’s ‘Ghost Gun’ | Hacklab | WIRED (4,200,000) | I Cheated At Poker By Hacking A Casino Card Shuffling Machine | Hacklab | WIRED (1,300,000)</t>
  </si>
  <si>
    <t xml:space="preserve">Geheimnis Deutschland</t>
  </si>
  <si>
    <t xml:space="preserve">Der Oberrheingraben verbirgt etwas, worüber niemand spricht (128,000) | Germany's Most Dangerous Place in Every State (and Why) (109,000) | A treasure that changes everything lies beneath the Upper Rhine Graben (107,000) | 25 SPERRGEBIETE: Was im Untergrund Deutschlands verborgen liegt (106,000)</t>
  </si>
  <si>
    <t xml:space="preserve">DH_Tales</t>
  </si>
  <si>
    <t xml:space="preserve">Nobody Could Tame The Duke's War Horse — Then The Flower Seller Made This One Gesture (109,000) | The Duke Pretended To Be Poor To Find A Bride—But Fell For Kind Village Girl Who Never Despised Him (59,000) | "You Need A Home... And I Need a Duchess," The Duke Told The Homeless Woman, What Happens Next.... (56,000) | " I Need a Wife Now, Come With Me! " The Duke Told His Poor Maid — What She Did Next Was Shocking (54,000)</t>
  </si>
  <si>
    <t xml:space="preserve">Tweqo</t>
  </si>
  <si>
    <t xml:space="preserve">crime, crime interrogations, police bodycam</t>
  </si>
  <si>
    <t xml:space="preserve">The Good Samaritan Had No Idea The Police Found DNA In His Pickup (281,000) | Teen Killer Smiled Until Detectives Said: "You Are NOT Going Home" (172,000) | Cops Found What She Hid Inside The Closet (139,000) | She Shot Her Boyfriend and Claimed It Was an Accident (10,000)</t>
  </si>
  <si>
    <t xml:space="preserve">Nap Theory</t>
  </si>
  <si>
    <t xml:space="preserve">Whoever Explains This Number Will Explain The Universe (47,000) | Why Understanding This Is Key to Understanding The Universe Itself (21,000) | The Forgotten Force That Physics Erased (19,000) | Is This The Breakthrough In Modern Physics We've Been Waiting For? (17,000)</t>
  </si>
  <si>
    <t xml:space="preserve">ViñetaDulce Manga Reseñas</t>
  </si>
  <si>
    <t xml:space="preserve">The Villain Family Can Hear the Servant's Thoughts (105,000) | They Kicked Her Out For Being An Orphan, Not Knowing A Powerful Family Was Looking For Her | Full... (101,000) | Mis Siete Hermanas Me Odiaban, Hasta Que Escucharon La Verdad En Mi Mente | Completa (82,000) | He Transmigrated Like a Lapdog and Abandoned the Goddess Before Losing Everything | Complete (78,000)</t>
  </si>
  <si>
    <t xml:space="preserve">Famosos al Límite</t>
  </si>
  <si>
    <t xml:space="preserve">15 Celebrities Who Went From Riches to Rags in 2026 (1,200,000) | 15 Celebrities Who Went from Fame to Oblivion (529,000) | El triste Final de 15 Jóvenes Artistas que perdieron la vida de forma trágica (420,000) | El Inhumano Final de las 15 Vedettes que llegaron a México (337,000)</t>
  </si>
  <si>
    <t xml:space="preserve">Simpson Explains</t>
  </si>
  <si>
    <t xml:space="preserve">tech gadgets</t>
  </si>
  <si>
    <t xml:space="preserve">Why Your "4K" TV Doesn’t Look Like 4K (The Hidden Setting That Fixes Your TV) (530,000) | The Wi-Fi Router Settings Your Internet Provider Doesn't Tell You About  — Double Your Speed (188,000) | Tech Stores Charge $80 to Calibrate Your TV — Change These 4 Settings Instead (126,000) | Your Smart TV Is Watching Everything You Do — Turn Off This Setting Immediately (124,000)</t>
  </si>
  <si>
    <t xml:space="preserve">Misterios de la Biblia Explicados</t>
  </si>
  <si>
    <t xml:space="preserve">«Uno será llevado y otro será dejado» — ¿Estás entendiendo mal las palabras de Jesús? (326,000) | The Truth Behind the Phrase "Many Are Called, but Few Are Chosen" in Matthew 22:14 (254,000) | Why was Eve the only person created by God through "surgery"? (176,000) | ¿Qué significa «vosotros sois dioses»? | El secreto de las palabras de Jesús en Juan 10:34 (104,000)</t>
  </si>
  <si>
    <t xml:space="preserve">Tomas True Crime</t>
  </si>
  <si>
    <t xml:space="preserve">Le Hizo Esto a Su Propia Madre… Luego la Arrojó por una Ventana | True Crime (502,000) | La Policía Halló Cientos de Videos Íntimos de Ella Grabados en Secreto y Sus Restos | True Crime (354,000) | La Secuestró de Su Casa, la Ató y Abusó Brutalmente de Ella | True Crime (190,000) | Años de Torturas Horribles… Incluso el Juez Quedó Horrorizado por Este Caso | True Crime (167,000)</t>
  </si>
  <si>
    <t xml:space="preserve">DashCam Impact 47</t>
  </si>
  <si>
    <t xml:space="preserve">They Thought FHP Couldn’t Catch Them — What Happened Next Was Insane.. (267,000) | The Craziest Car Accidents Caught on Dashcam #4 (223,000) | Dashcam Mistakes That Ended In Instant Disaster! (149,000) | When the FHP Encountered the Most Reckless Thieves and This Is What Happened.. (99,000)</t>
  </si>
  <si>
    <t xml:space="preserve">Odd Questions</t>
  </si>
  <si>
    <t xml:space="preserve">Why Are Humans Obsessed With Gold? (376,000) | How Did Humans Discover Uranium? (348,000) | How Did Humans Discover Platinum? (61,000) | How Did Humans End Up in Australia? (38,000)</t>
  </si>
  <si>
    <t xml:space="preserve">Zin TV Reaktion</t>
  </si>
  <si>
    <t xml:space="preserve">Wolfgang Grupp settles the score live: “Enough is enough!” - Talk show spirals out of control? (392,000) | Bohlen spills the truth about Hayali: "It’s absolutely mind-blowing!" - Things are getting really... (371,000) | Patrik Baab Interview: Why do fewer and fewer people trust official narratives? (119,000) | Dieter Bohlen lays it all out: "THEY NEED TO WORK FOR US!" - Plain talk causes a stir! (114,000)</t>
  </si>
  <si>
    <t xml:space="preserve">Drama Nexus</t>
  </si>
  <si>
    <t xml:space="preserve">television, drama, commentary</t>
  </si>
  <si>
    <t xml:space="preserve">Heartland Season 20 Episode 1 Trailer | Amy is PREGNANT! Wedding, Baby &amp; Goodbye 😭 (66,000) | The Chosen Season 6 Trailer 2026 — The Last Days of Jesus Have Begun Filming (40,000) | Lanterns Episode 5 Ending Explained: The Villain Was Never The Manhunter (29,000) | Tulsa King Season 4 Official Teaser | The Empire Is About To Fall (24,000)</t>
  </si>
  <si>
    <t xml:space="preserve">Celebrity Files</t>
  </si>
  <si>
    <t xml:space="preserve">BE</t>
  </si>
  <si>
    <t xml:space="preserve">Mazda Just Shook Up the Electric Vehicle Market With Its Biggest Announcement Yet! (1,000,000) | ¡El Nuevo Motor de Toyota Podría Desafiar a los EV — Elon Musk lo CONFIRMA! (14,000) | ¡BYD SORPRENDE con una Nueva Batería de Estado Sólido y Carga en Solo 10 Minutos! (12,000) | Honda's New Engine Could Completely Shake Up the EV Industry, Says CEO! (10,000)</t>
  </si>
  <si>
    <t xml:space="preserve">ReactionRush</t>
  </si>
  <si>
    <t xml:space="preserve">society, internet controversies, news</t>
  </si>
  <si>
    <t xml:space="preserve">Why Millions Of Americans Are Returning Brand-New Cars (789,000) | America Is Refusing Tips… And Business Owners Aren't Happy.... Here's Why  (126,000) | RESTAURANTS ARE SITTING EMPTY AND AMERICANS AREN'T SORRY. (96,000) | Walmart Went Too Far And Now They're Paying The Price. (55,000)</t>
  </si>
  <si>
    <t xml:space="preserve">Food Facts Exposed</t>
  </si>
  <si>
    <t xml:space="preserve">DON'T BUY THESE 10 CHOCOLATE BRANDS AND 6 THAT ARE ACTUALLY CHOCOLATE (733,000) | 10 Milk Brands to AVOID (And 8 That Are Actually Pure) (613,000) | 5 Cheddar Brands That Are Mostly Oil and Additives vs 5 Real Ones (326,000) | I Investigated 18 Bread Brands in the US (Only 8 Are Actually Real Bread) (124,000)</t>
  </si>
  <si>
    <t xml:space="preserve">Divine Grace Daily</t>
  </si>
  <si>
    <t xml:space="preserve">Lord, Help Me to Be Still and Know That You Are God | A Blessed Morning Prayer (371,000) | Seek God and Speak His Word Over Your Life | A Blessed Morning Prayer To Begin Your Day (64,000) | Let Your First Words This Morning Be a Prayer to God | A Blessed Morning Prayer (46,000) | Holy Spirit, Guide Me Today | Powerful Morning Prayer To Start Your Day (26,000)</t>
  </si>
  <si>
    <t xml:space="preserve">El Mundo que Fue</t>
  </si>
  <si>
    <t xml:space="preserve">1916: The Great Arrival of 10,000 American Soldiers Who Crossed Mexico Hunting for Villa (586,000) | Así Fue el Último Día de Emiliano Zapata: la EMBOSCADA que Estremeció a México en 1919 (397,000) | This Was the Last Day of Mexico's Richest CHURCH: When JUÁREZ Took It All | 1859 (258,000) | How the BISHOPS Who Lived Like Kings in Mexico Fell (213,000)</t>
  </si>
  <si>
    <t xml:space="preserve">Confessions Minuit</t>
  </si>
  <si>
    <t xml:space="preserve">" Je ne serre pas la main aux employés subalternes ', a déclaré le président. Le lendemain matin... (62,000) | J'ai dîné dans mon propre hôtel : menu à 175 $, facture de 988 $. Appelez votre gérant. (50,000) | Mon salaire réduit de 50 %, j'ai démissionné en souriant avec une politesse cinglante. (21,000) | J'ai acheté des actions de la société en secret pendant 23 ans avant que le fils du président du... (15,000)</t>
  </si>
  <si>
    <t xml:space="preserve">Manhwa Recap Originals</t>
  </si>
  <si>
    <t xml:space="preserve">Everyone Skipped the Tutorial. I Read It and Became Unkillable. | Original Manhwa Story (178,000) | His Credit Card Charges Only $1 For ANYTHING… So He Buys A MEGAYACHT To Test It! (171,000) | Everyone Spent Their Starter Coin. I Saved Mine And Bought The Final Safe Zone | Original Manhwa (168,000) | Anything He Touched Became Brand New… So He Bought Totaled SUPERCARS for $500! (145,000)</t>
  </si>
  <si>
    <t xml:space="preserve">Edge Tales</t>
  </si>
  <si>
    <t xml:space="preserve">How People Live in Ni'ihau | The Hawaiian Island Frozen in Time by One Family | 4K Travel Document (276,000) | How People Live in Socotra | Alien Island That Doesn't Belong on Earth | 4K Travel Documentary (269,000) | How Bajau People Live Underwater | The Only Sea Nomads Tribe Left | 4K Travel Documentary (161,000) | How People Live in Saba | The Tiny Island That Surprises the World | 4K Travel Documentary (145,000)</t>
  </si>
  <si>
    <t xml:space="preserve">Cool Dude Explains</t>
  </si>
  <si>
    <t xml:space="preserve">10 Professional Software You Don't Need To Pay For (217,000) | 10 Powerful AI Sites Most People Don't Know About (181,000) | 10 Free Apps That Are Better Than Paid Versions (126,000) | 10 Tech Skills They Don't Want You to Know Are Free (95,000)</t>
  </si>
  <si>
    <t xml:space="preserve">The Hidden Side of History</t>
  </si>
  <si>
    <t xml:space="preserve">HUARAZ 1941: The lagoon that BURIED a third of the city in 15 minutes (543,000) | Saint Rose of Lima: The Hidden Truth Behind America's First Saint (173,000) | YUNGAY 1970: The mountain that WIPED OUT an entire city in 3 minutes (103,000) | The Secret of Cotopaxi: A Volcano That Can Destroy a City in Minutes (91,000)</t>
  </si>
  <si>
    <t xml:space="preserve">Historia de la Tierra</t>
  </si>
  <si>
    <t xml:space="preserve">The Breakup of Pangea | How Earth Tore Itself Apart | Full Documentary (1,100,000) | El Triásico Completo | El Mundo Después Del Mayor Apocalipsis De La Tierra (633,000) | 3.5 Billion Years Ago: When the First Life on Earth Was Born | Full Documentary (526,000) | 2 Million Years Ago: The Savage World Where Early Humans Were Prey (463,000)</t>
  </si>
  <si>
    <t xml:space="preserve">WW2 Ruins</t>
  </si>
  <si>
    <t xml:space="preserve">The True Story of Occupied Sark — Where One Woman Defied the German Occupiers (267,000) | The True Story of Occupied Guernsey — the Only British Soil the Nazis Ever Held (124,000) | The Dark Story of Stalag Luft III — the 'Great Escape' That Ended With 50 Men Shot (109,000) | The Dark Story of Colditz Castle - The 'Escape-Proof' Camp Where POWs Built a Glider (80,000)</t>
  </si>
  <si>
    <t xml:space="preserve">Pike Diaz</t>
  </si>
  <si>
    <t xml:space="preserve">crime, investigative documentaries, society</t>
  </si>
  <si>
    <t xml:space="preserve">92 gün</t>
  </si>
  <si>
    <t xml:space="preserve">EL LADO OSCURO DEL INTERNET EN INDONESIA (288,000) | THE WORST CASES THE FBI COULDN'T SOLVE (285,000) | MEXICO IS SCARY (230,000) | EL INTERNET EN ASIA DA MIEDO (194,000)</t>
  </si>
  <si>
    <t xml:space="preserve">HelixOff</t>
  </si>
  <si>
    <t xml:space="preserve">roblox, video games, youtube challenge videos</t>
  </si>
  <si>
    <t xml:space="preserve">14 gün</t>
  </si>
  <si>
    <t xml:space="preserve">I Played This DEAD Game Again! (I Didn't See That Coming...) (30,000) | A Cheater Ruined My First Admin Abuse.. (10,000) | I Tested the WORST Egg Stealing Knockoffs! (6,100)</t>
  </si>
  <si>
    <t xml:space="preserve">Gonchi</t>
  </si>
  <si>
    <t xml:space="preserve">movies, television, horror stories</t>
  </si>
  <si>
    <t xml:space="preserve">EL DIARIO DE GREG tiene al PROTAGONISTA más MALA GENTE (666,000) | UNA ESPOSA DE MENTIRA tiene al ADAM SANDLER más PAJÍN (366,000) | DIARY OF A WIMPY KID: RODRICK RULES is a GREAT SEQUEL (259,000) | COMO SI FUERA LA PRIMERA VEZ es DURÍSIMA (254,000)</t>
  </si>
  <si>
    <t xml:space="preserve">Shalom Reactions</t>
  </si>
  <si>
    <t xml:space="preserve">usa politics</t>
  </si>
  <si>
    <t xml:space="preserve">MAGA VOTERS FURIOUS AS TRUMP FIRES 2,000 ICE AGENTS?! (447,000) | MAGA VOTERS FURIOUS AS ICE AGENT BREAKS SILENCE AND EXPOSES TRUMP?! (298,000) | MAGA VOTERS FURIOUS AS IRAN REJECTS TRUMP AND TURNS TO OBAMA (116,000) | MAGA VOTERS FURIOUS AS THE WORLD JOINS CANADA IN BOYCOTTING THE U.S. (114,000)</t>
  </si>
  <si>
    <t xml:space="preserve">Humanity Timeline</t>
  </si>
  <si>
    <t xml:space="preserve">Evolution of DUBAI: Fixed-Camera Timelapse 12,000 Years in 9 Minutes (467,000) | Evolution of BEIJING: Fixed - Camera Timelapse 14,000 Years in 12 Minutes (373,000) | Evolution of NEW YORK (12,000 Years in 11 Minutes) | Fixed-Camera Timelapse: Statue of Liberty (266,000) | Evolution of PARIS: Fixed - Camera Timelapse 14,000 Years in 8 Minutes (240,000)</t>
  </si>
  <si>
    <t xml:space="preserve">Stickly</t>
  </si>
  <si>
    <t xml:space="preserve">Why Do Predators Ignore Sleeping Humans? (2,200,000) | What Did Ancient Humans Do During the Night? (602,000) | Why Do We Always Need to Pet Everything? (466,000) | Why Do Animals Bring Babies to Humans? (367,000)</t>
  </si>
  <si>
    <t xml:space="preserve">World's Greatest Heists</t>
  </si>
  <si>
    <t xml:space="preserve">HEIST</t>
  </si>
  <si>
    <t xml:space="preserve">Soygun / dolandırıcılık</t>
  </si>
  <si>
    <t xml:space="preserve">The Genius French Bank Heist That Shocked the World (659,000) | The Queen of Jewels - How One Woman Outsmarted the FBI for Decades (323,000) | Inside Min Jin Yang's $40M NYC Luxury Car Theft Machine (252,000) | How the FBI Stopped a Massive Terrorist Bombing in Dallas (211,000)</t>
  </si>
  <si>
    <t xml:space="preserve">Courtroom Daily Update</t>
  </si>
  <si>
    <t xml:space="preserve">Entitled Ex-Wife Thought Threats Would Force Him To Sign — Judge Gives INSTANT Reality Check (93,000) | Entitled Mom Thought She Could Block Child Support — Judge Gives INSTANT Reality Check (61,000) | Entitled Mom Thought Custody Order Wouldn't Matter — Judge DESTROYS Her Argument (59,000) | Entitled Ex-Wife Thought Her Affair Wouldn't Cost Custody — Judge Gives INSTANT Reality Check (59,000)</t>
  </si>
  <si>
    <t xml:space="preserve">UntoldAmericaTV</t>
  </si>
  <si>
    <t xml:space="preserve">When a Cop Makes Her Last Traffic Stop (1,500,000) | They Pulled Him Over at 111 MPH, Then His Cousin Grabbed an AK-47 (814,000) | Killer Posts His Murder On Snapchat Then Plays Dumb With Police (292,000) | A Jackpot, a Traffic Stop, and a Death Sentence (257,000)</t>
  </si>
  <si>
    <t xml:space="preserve">I.A. Viva</t>
  </si>
  <si>
    <r>
      <rPr>
        <sz val="10"/>
        <rFont val="Arial"/>
        <family val="0"/>
        <charset val="1"/>
      </rPr>
      <t xml:space="preserve">The Formerly Mute Crown Prince Speaks In Court And Shocks The Entire Nation (160,000) | Ten Years of Devotion in Vain, the General Regrets Too Late While His Rival Rises to Power (142,000) | My Wife Trusted Her Male Best Friend And Lost Me Forever (134,000) | Alojarse en un hotel</t>
    </r>
    <r>
      <rPr>
        <sz val="10"/>
        <rFont val="WenQuanYi Zen Hei"/>
        <family val="2"/>
      </rPr>
      <t xml:space="preserve">：</t>
    </r>
    <r>
      <rPr>
        <sz val="10"/>
        <rFont val="Arial"/>
        <family val="0"/>
        <charset val="1"/>
      </rPr>
      <t xml:space="preserve">Se fue soltera, volvió casada... y con 380.000 de deuda (130,000)</t>
    </r>
  </si>
  <si>
    <t xml:space="preserve">Forgotten British Cities</t>
  </si>
  <si>
    <t xml:space="preserve">Why Nobody Wants to Visit The Isle of Man Anymore (169,000) | Why Nobody Wants to Visit the Isle of Wight Anymore (60,000) | How One Takeover Killed Britain's Greatest Holiday Empire: Butlin's (58,000) | How One Takeover Killed Britain's Last Holiday Camp Empire: Pontins (39,000)</t>
  </si>
  <si>
    <t xml:space="preserve">Patina</t>
  </si>
  <si>
    <t xml:space="preserve">Why Do Japanese Houses Not Touch The Ground? (568,000) | Why Do Japanese Bedrooms Have No Beds? (236,000) | Why The Japanese Sleep on The Floor (147,000) | Why are Japanese doors made of paper — and slide instead of swing? (113,000)</t>
  </si>
  <si>
    <t xml:space="preserve">Mundo Olvidado</t>
  </si>
  <si>
    <t xml:space="preserve">Why Does ALMOST NO ONE Live in URUGUAY? (1,200,000) | Por qué la Costa ARGENTINA está tan VACÍA (535,000) | Why Almost NO ONE Lives in West TEXAS (65,000) | Why MORE than HALF of COLOMBIA Is EMPTY (61,000)</t>
  </si>
  <si>
    <t xml:space="preserve">Etiqueta Oculta</t>
  </si>
  <si>
    <t xml:space="preserve">No Compres Estas 10 Marcas de Sal (Y 3 Que SÍ Son Realmente Puras) (650,000) | We Tested Chicken from Walmart, Costco, Target, Aldi and 10 Other Stores | Only 4 Were Worth It (368,000) | 5 Marcas de Jabón que Debes Evitar y 5 que REALMENTE Valen la Pena (345,000) | We Tested Water From Walmart, Costco, Target, Aldi and 19 Other Stores | Only 8 Were Worth It (318,000)</t>
  </si>
  <si>
    <t xml:space="preserve">Drift Through History</t>
  </si>
  <si>
    <t xml:space="preserve">Fall Asleep to the ENTIRE Story of the East India Companies — Trade, War, and Corporate Empires (146,000) | Fall Asleep to the ENTIRE Story of the Lost Ninth Legion — Rome's Greatest Military Mystery (83,000) | Fall Asleep to the ENTIRE Story of the Dutch East India Company — The World's Richest Corporation (36,000) | Fall Asleep to the ENTIRE Story of Tortuga — The Pirate Capital of the Caribbean (31,000)</t>
  </si>
  <si>
    <t xml:space="preserve">Trucker Life</t>
  </si>
  <si>
    <t xml:space="preserve">20 U.S. Rest Areas So DANGEROUS Truckers Refuse to Stop There After Dark (475,000) | 20 Bridges in America Truckers DREAD Crossing — One Mistake Is Fatal (248,000) | 20 U.S. Truck Stops So DANGEROUS Drivers Refuse to Sleep There (2026) (230,000) | 20 Mountain Passes That TERRIFY Even Veteran Truckers (154,000)</t>
  </si>
  <si>
    <t xml:space="preserve">Estrictamente</t>
  </si>
  <si>
    <t xml:space="preserve">How Did Humans Invent Countries? (271,000) | The Deadliest Weapon Ever Created by Prehistoric Humans (224,000) | What did people in Ancient Rome actually do all day? (190,000) | Why They Didn't Wake Up at 5 AM (174,000)</t>
  </si>
  <si>
    <t xml:space="preserve">Ancient Human Files</t>
  </si>
  <si>
    <t xml:space="preserve">Why Did Ancient Humans Begin Cooking? (195,000) | Why Don't Wild Predators Attack Sleeping Humans? (163,000) | Why Are Humans So Afraid of Spiders? (81,000) | Why Do Men Still Have Beards If Humans Lost All Their Fur? (75,000)</t>
  </si>
  <si>
    <t xml:space="preserve">The Windsor Lens</t>
  </si>
  <si>
    <t xml:space="preserve">1 MIN AGO: Meghan SPEECHLESS As Lord Chancellor EXECUTES Order Seizing Her Royal Jewels (97,000) | William Strips Meghan’s Duchess Title, Exiles Sussex From All Royal Events (77,000) | 1 MIN AGO: Meghan STUNNED As Lord Chancellor Enforces Order Stripping Harry’s Royal Titles (70,000) | Meghan STRIPPED Of Titles After King Charles Signs Final Decree Banishing Sussex From Royal Life (64,000)</t>
  </si>
  <si>
    <t xml:space="preserve">Built on Lies</t>
  </si>
  <si>
    <t xml:space="preserve">The Billionaire Who Bought a Country With a $7 Billion Lie (87,000) | The Man Who Stole $65 Billion and Made Everyone Thank Him (86,000) | Charles Ponzi: The Financial Idiot Who Fooled an Entire City (77,000) | The Woman Who Sold Fake Science to America (69,000)</t>
  </si>
  <si>
    <t xml:space="preserve">Black Frigate</t>
  </si>
  <si>
    <t xml:space="preserve">The Incredible Engineering of the Ironclad (352,000) | The Incredible Engineering of the Man of War (321,000) | The Incredible Engineering of the Naval Cannon (321,000) | The Incredible Engineering of the Ship of the Line (241,000)</t>
  </si>
  <si>
    <t xml:space="preserve">HeartfeltDramas</t>
  </si>
  <si>
    <t xml:space="preserve">drama, stories, reality tv</t>
  </si>
  <si>
    <t xml:space="preserve">21 gün</t>
  </si>
  <si>
    <t xml:space="preserve">Her Fiancé Humiliated Her at Their Engagement, So She Returned as a Mafia Queen!#drama #mafia (56,000) | She Loved the Mafia King for 10 Years—Then Married His Greatest Rival#drama#mafia (44,000) | He Hurt Her for His First Love—Now He’s Desperate to Win Her Back#drama#mafia (44,000) | After 17 Broken Weddings, She Rose to Power and Left the Mafia Godfather Behind#drama#mafia (36,000)</t>
  </si>
  <si>
    <t xml:space="preserve">milsim plontos</t>
  </si>
  <si>
    <t xml:space="preserve">Breaking news! Putin was attacked at the airport while trying to flee—see what happened. (152,000) | Breaking news! Putin was attacked at the airport while trying to flee—see what happened. (144,000) | The world is shocked! Putin tried to flee in his private jet—see what happened. (111,000) | 1 hour ago! Ukraine's deadly fighter jets destroyed 3,000 Russian tanks, see what happened? (97,000)</t>
  </si>
  <si>
    <t xml:space="preserve">The Last Unsolved</t>
  </si>
  <si>
    <t xml:space="preserve">crime, investigative documentaries, biography</t>
  </si>
  <si>
    <t xml:space="preserve">Willie Cage: The Ruthless Drug Lord Who Held Chicago By The Throat (166,000) | Sheron Sukhdeo: The Untouchable Drug Lord Who Weaponized The Notorious Muslim Gang (142,000) | Roosevelt Daniels: The Hidden Drug Lord Who Controlled Chicago (43,000) | Chicago's Untouchable King Moved Millions Before The FBI Came Knocking (40,000)</t>
  </si>
  <si>
    <t xml:space="preserve">Forgotten Frames</t>
  </si>
  <si>
    <t xml:space="preserve">📷  Not Filtered, Not Staged: You Won’t Believe These Rare Vintage Photos Still Exist (1940s–1980s) (149,000) | 📷 Without Permission or Warning: Photos They Never Expected to Become Public (86,000) | 📷 Not Filtered, Not Staged: Vintage Photos The Public Was Never Supposed To See (1940s–1980s) (62,000) | 📷  Not Staged, Not Filtered: Unseen Vintage Photos They Didn’t Want You to See  (1940s–1980s) (42,000)</t>
  </si>
  <si>
    <t xml:space="preserve">Explainer Medieval History</t>
  </si>
  <si>
    <t xml:space="preserve">What Dying From Every Medieval Disease Actually Felt Like (282,000) | 10 Medieval Diseases Modern Medicine Still Can't Cure (119,000) | 10 Epidemics That Wiped Out Villages Overnight (75,000) | 10 Disasters That Erased Entire Medieval Civilizations (55,000)</t>
  </si>
  <si>
    <t xml:space="preserve">Empires of Rust</t>
  </si>
  <si>
    <t xml:space="preserve">How America's Oldest Car Empire Collapsed (424,000) | Inside Oldsmobile: How General Motors Killed America's Oldest Car Brand (104,000) | How America's Greatest Luxury Car Bought Its Own Death (31,000) | Inside Polaroid: The Invention That Built and Blinded an American Empire (22,000)</t>
  </si>
  <si>
    <t xml:space="preserve">CrimeRecon</t>
  </si>
  <si>
    <t xml:space="preserve">Man Celebrating New Year Has No Idea a Cop Is Behind the Fence (986,000) | Box Truck Kidnapping Ends in Shots Fired (614,000) | Cop Follows Missing Teen's AirTag, Uncovers Murder in Parked Jeep (560,000) | SWAT Standoff Ends in Gunfire (180,000)</t>
  </si>
  <si>
    <t xml:space="preserve">Field Record TV</t>
  </si>
  <si>
    <t xml:space="preserve">18-Year-Old Caught Stealing $2,000 On Her First Month Of The Job | Legal Analysis (394,000) | Digital Predator's Dark Web Secrets Exposed During Police Raid (350,000) | Thief Shocked When Police Show Up at Her House After Shoplifting | Bodycam Analysis (310,000) | Entitled Shoplifter Begs Cops Not to Search Her Van, Instantly Regret It (240,000)</t>
  </si>
  <si>
    <t xml:space="preserve">Foot player 26</t>
  </si>
  <si>
    <t xml:space="preserve">20 July, 2026 | Spain vs argentina | FIFA World Cup 26 Final | Football | FC26 Gameplay (1,700,000) | 15 July, 2026 | France vs Spain | FIFA World Cup 26 | Semi Finals | Football | FC26 Gameplay (1,000,000) | 16 July, 2026 | England vs Argentina | FIFA World Cup 26 | Semi Finals | Football | FC 26 Gameplay (832,000) | 10 July, 2026 | France vs Marocco | FIFA World Cup 26 | Quarter Finals | Football | FC26 Gameplay (696,000)</t>
  </si>
  <si>
    <t xml:space="preserve">House of Ruin</t>
  </si>
  <si>
    <t xml:space="preserve">fashion for women</t>
  </si>
  <si>
    <t xml:space="preserve">The Dark Story of Karl Lagerfeld (244,000) | The Dark Story of Gucci (202,000) | The Dark Story of Coco Chanel (180,000) | The Dark Story of Dolly Parton (120,000)</t>
  </si>
  <si>
    <t xml:space="preserve">Intueas In-Depth</t>
  </si>
  <si>
    <t xml:space="preserve">The Most Dangerous Book Ever Written About Reality - Carl Jung's Red Book (218,000) | Everything Is About to Work Out for You - Carl Jung (28,000) | The Real Purpose of Life (Not What 99% Think) — Carl Jung's Answer (20,000) | Once You Learn to Ignore the Mental Reality The Shift Begins | Carl Jung (18,000)</t>
  </si>
  <si>
    <t xml:space="preserve">Cheater Fallout</t>
  </si>
  <si>
    <t xml:space="preserve">My Girlfriend Texted: "I'll Be Staying At Jason's Tonight—Don't Wait Up." I Replied, "Oh, I Won't." (40,000) | My Fiancée Went To Her Ex’s Place To Hurt Me… She Never Expected What I Did The Next Morning (37,000) | My Wife Listened To Her Friend's Advice And Cheated—Then She Came Home To Divorce Papers (30,000) | My Fiancée Texted: "Wedding's Still On, But I'm Spending The Last Few Nights With My Ex.." So I Left (27,000)</t>
  </si>
  <si>
    <t xml:space="preserve">USA IN WW2</t>
  </si>
  <si>
    <t xml:space="preserve">The Massacre Of Guam From The Japanese Perspective: 18,377 Japanese Soldiers Dead (232,000) | The Day Japan's Naval Air Force Died in WW2 (204,000) | America Built a Fighter That Refused to Dogfight, and the Zero's Began to Die One by One (203,000) | When The Japanese Fleet Was Erased In 18 Minutes (156,000)</t>
  </si>
  <si>
    <t xml:space="preserve">LieLab</t>
  </si>
  <si>
    <t xml:space="preserve">1 HOUR of LIES You've Believed Your WHOLE LIFE Getting DESTROYED🤯 | #12 (602,000) | 1 HOUR of DEBUNKING MYTHS Nobody Ever DARED to Question 😲 | #14 (123,000) | 1 HOUR of DUMB MYTHS You STILL Believe Getting CRUSHED😲 | #10 (71,000) | 40 HYGIENE LIES That Are Making You DIRTIER, Not Cleaner 🧼 (62,000)</t>
  </si>
  <si>
    <t xml:space="preserve">Vigía México</t>
  </si>
  <si>
    <t xml:space="preserve">¡MAS4CRE en ZONA ESMERALDA; HARFUCH DESTAPA la RED de FRAUDE del AS3SINO del TECLADISTA! (413,000) | He BEAT a RECEPTIONIST and UNCOVERED something WORSE: HARFUCH FOLLOWS the MONEY (380,000) | ¡HARFUCH DESMANTELA a LOS SALAZAR EN OBREGÓN: CAE “EL MONSTRUO”, 5 MDP y 110 DOS!S SIN DISPAR4R! (273,000) | ¡HARFUCH CAPTURA a EXGOBERNADOR AGUIRRE por DESTRUIR VIDEOS de los 43 de AY0TZINAPA! (252,000)</t>
  </si>
  <si>
    <t xml:space="preserve">La Biblia Explicada</t>
  </si>
  <si>
    <t xml:space="preserve">EXODUS IN FULL: The Biblical Story Every Christian Should Know (447,000) | Joshua Complete | How Israel Conquered the Promised Land | The Bible Explained (376,000) | Numbers Explained | Why Israel Spent 40 Years in the Desert | The Bible Explained (357,000) | Proverbs | God's WISDOM for Living Prudently in a Lost World (239,000)</t>
  </si>
  <si>
    <t xml:space="preserve">Ancient Aussie</t>
  </si>
  <si>
    <t xml:space="preserve">What Scientists Found at Australia's Black Mountain Has Shocked the Entire World (271,000) | The Mysterious Min Min Light Haunting the Australian Outback No One Can Explain (133,000) | The Burrunjor Sightings Haunting Arnhem Land No One Can Explain (100,000) | What Was Just Found Off Australia's Coast Shouldn't Exist (75,000)</t>
  </si>
  <si>
    <t xml:space="preserve">Bajo la Postal</t>
  </si>
  <si>
    <t xml:space="preserve">Socorro Island Hides Something That No Other Place in Mexico Has (698,000) | El Istmo de Tehuantepec Tiene un Secreto Que NADIE Cuenta (362,000) | El Bajío Esconde Algo Peligroso Que Nadie Cuenta (167,000) | Baja California Se Está Separando de México y Nadie Puede Detenerlo (154,000)</t>
  </si>
  <si>
    <t xml:space="preserve">The Walking Science</t>
  </si>
  <si>
    <t xml:space="preserve">Your Walk Could Burn More Fat If You Follow These 3 Rules (396,000) | What Happens to Your Body When You Walk Slowly for an Hour (330,000) | What Happens to Your Body When You Walk for 45 Minutes Without Stopping (40,000) | The Best Time to Walk If You Want to Burn More Fat (32,000)</t>
  </si>
  <si>
    <t xml:space="preserve">DNA Revelations</t>
  </si>
  <si>
    <t xml:space="preserve">Geneticists Revealed The Chamorro Were Never Who We Thought | Here's What The DNA Shows (122,000) | Geneticists Revealed The Moriori Were Never Who We Thought  Here's What The DNA Shows (87,000) | Geneticists Revealed The Indus Valley People Were Never Who We Thought | Here's What The DNA Shows (81,000) | Geneticists Revealed Ashkenazi Jews Were Never Who We Thought | Here's What The DNA Shows (75,000)</t>
  </si>
  <si>
    <t xml:space="preserve">Top Wood Tips</t>
  </si>
  <si>
    <t xml:space="preserve">Top 3 Brilliant WoodCorner Joint Techniques by a 65-Year-Old Carpenter (1,600,000) | Top 7 Simple Tips from a 65-Year-Old Carpenter to Create Perfect Wood Corner Joints (1,300,000) | Top 3 Ingenious Wood Corner Joint Ideas from a 65-Year-Old Carpenter! (829,000) | Top 7 Secret Wood Corner Joint Techniques by a 65-Year-Old Carpenter! (723,000)</t>
  </si>
  <si>
    <t xml:space="preserve">Königshaus Geheimnisse</t>
  </si>
  <si>
    <t xml:space="preserve">VOR 5 MINUTEN: Prinz William &amp; Catherine BESTÄTIGEN Camilla wurde aus der Windsor Lodge VERWIESEN! (98,000) | William ENTDECKT Dianas geheimen Brief und LIEST ihn vor – Der Inhalt SCHOCKIERT ganz Großbritannien (80,000) | BREAKING NEWS: Prince William discovers Diana's secret letter and its contents leave Camilla spee... (71,000) | William wirft Camilla aus der Königsfamilie und enthüllt nun Charles’ jahrelang gehütetes Geheimnis! (69,000)</t>
  </si>
  <si>
    <t xml:space="preserve">Sacred Mysteries</t>
  </si>
  <si>
    <t xml:space="preserve">CATHOLIC</t>
  </si>
  <si>
    <t xml:space="preserve">Papa, aziz, keşiş vahiyleri</t>
  </si>
  <si>
    <t xml:space="preserve">Mel Gibson's Fallen Angels Scene Was So DISTURBING, He Almost Cut It (489,000) | Jonathan Roumie COLLAPSES: Watch MIRACLES Happen During Filming of The Passover Scene of THE CHOSEN (38,000) | Mel Gibson's CHILLING Warning: This really happened during the filming of The Passion of the Christ (23,000) | The Cast of The Passion of The Christ and Where They Are Now (2026) (22,000)</t>
  </si>
  <si>
    <t xml:space="preserve">Healing TaiChi Flow</t>
  </si>
  <si>
    <t xml:space="preserve">30-Min Tai Chi Workout - Lose Belly Fat - Reduce Cortisol - Burn Fat Naturally (131,000) | 15-Min Tai Chi Belly Fat Challenge | Reduce Visceral Fat in 2 Weeks (126,000) | 15-Min Tai Chi Walking Workout🌿 Lose Belly Fat &amp; Support Weight Loss in 7 Days (98,000) | 15-Min Tai Chi for Weight Loss &amp; Anti-Aging - Burn Fat and Feel 10 Years Younger After 50 (76,000)</t>
  </si>
  <si>
    <t xml:space="preserve">Black Star Secrets</t>
  </si>
  <si>
    <t xml:space="preserve">Before His Death, Rick James Exposed the Truth About His Famous Lovers (109,000) | Before She Died, Lisa Marie Presley Finally Revealed the Truth About Michael Jackson (91,000) | Michael Jackson Autopsy Reveals Horrifying Truth - What Really Happened in His Last 24 Hours (89,000) | Jimi Hendrix Autopsy Reveals Horrifying Truth– What Really Happened in His Last 24 Hours (50,000)</t>
  </si>
  <si>
    <t xml:space="preserve">Melon and Sunny Games</t>
  </si>
  <si>
    <t xml:space="preserve">SPENDING $100,000 For EVERYTHING in +1 Speed Keyboard Escape (683,000) | Spending $8,567,912 To Build BIGGEST TRAMPOLINE PARK In Roblox.. (483,000) | SIMULATING CIVILIZATION in Roblox... (468,000) | Race Your LUCKY BLOCK in Roblox (451,000)</t>
  </si>
  <si>
    <t xml:space="preserve">Sovereign Victory</t>
  </si>
  <si>
    <t xml:space="preserve">HOA</t>
  </si>
  <si>
    <t xml:space="preserve">HOA / komşu / çiftçi intikam hikayeleri</t>
  </si>
  <si>
    <t xml:space="preserve">2026-08-09</t>
  </si>
  <si>
    <t xml:space="preserve">HOA Banned “Unapproved” Plants—So I Filled My Yard With Giant Venus Flytraps and Fed Them Hot Dogs (16,000) | HOA Said My Driveway Gate Was a “Fire Hazard”— I Upgraded It to a DoD-Certified Security Checkpoint (14,000) | HOA Fined Me for Leaving a Hose Out—So I Built a Giant Front-Yard Labyrinth From 5,000 Feet of Hose! (13,000) | Karen Complained My Driveway Was Commercial, So I Rezoned It as an Interstate Highway Rest Stop! (13,000)</t>
  </si>
  <si>
    <r>
      <rPr>
        <sz val="10"/>
        <rFont val="Arial"/>
        <family val="0"/>
        <charset val="1"/>
      </rPr>
      <t xml:space="preserve">Unseen Earth </t>
    </r>
    <r>
      <rPr>
        <sz val="10"/>
        <rFont val="WenQuanYi Zen Hei"/>
        <family val="2"/>
      </rPr>
      <t xml:space="preserve">未见地球</t>
    </r>
  </si>
  <si>
    <r>
      <rPr>
        <sz val="10"/>
        <rFont val="Arial"/>
        <family val="0"/>
        <charset val="1"/>
      </rPr>
      <t xml:space="preserve">The Mysterious Himalayas | A Breathtaking Mountain Range and Hidden Places That Look Unreal | 4K ... (250,000) | 15 UNESCO World Heritage Sites You’ll Regret Missing Before You Die | The Most Extraordinary Plac... (170,000) | 30 Ancient Structures That Shouldn't Exist | 4K Documentary (118,000) | </t>
    </r>
    <r>
      <rPr>
        <sz val="10"/>
        <rFont val="WenQuanYi Zen Hei"/>
        <family val="2"/>
      </rPr>
      <t xml:space="preserve">尼泊尔末日？喜马拉雅山崩塌，致命山体滑坡与洪水吞噬村庄！｜</t>
    </r>
    <r>
      <rPr>
        <sz val="10"/>
        <rFont val="Arial"/>
        <family val="0"/>
        <charset val="1"/>
      </rPr>
      <t xml:space="preserve">4K</t>
    </r>
    <r>
      <rPr>
        <sz val="10"/>
        <rFont val="WenQuanYi Zen Hei"/>
        <family val="2"/>
      </rPr>
      <t xml:space="preserve">纪录片 </t>
    </r>
    <r>
      <rPr>
        <sz val="10"/>
        <rFont val="Arial"/>
        <family val="0"/>
        <charset val="1"/>
      </rPr>
      <t xml:space="preserve">(96,000)</t>
    </r>
  </si>
  <si>
    <t xml:space="preserve">Boring Apocalypse</t>
  </si>
  <si>
    <t xml:space="preserve">The 6 US STATES That Will Become UNGOVERNABLE Within 30 Days of Collapse (115,000) | How to Survive a WINTER BLACKOUT When the Grid Is Dead and Help Isn't Coming (91,000) | 10 SURVIVAL DRINKS to Keep You Alive When There's NO WATER (80,000) | 15 Safest US States That Will Survive After SHTF (49,000)</t>
  </si>
  <si>
    <t xml:space="preserve">Animación Salvaje</t>
  </si>
  <si>
    <t xml:space="preserve">animation, anime, stories</t>
  </si>
  <si>
    <t xml:space="preserve">¡Expulsada de la Mansión! Abrió una Tienda que Conecta Pasado y Presente (183,000) | ¡Mi Cocina Conecta al Mundo Moderno! Vendo Verduras Silvestres para Volverme Millonaria (133,000) | SS1 - ¡Mi Restaurante Conecta Eras! Vendo Sopa Instantánea a los Ancestros y me Vuelvo Millonario (119,000) | Desperté un sistema devorador y evolucioné hasta convertirme en un Kaiju divino (100,000)</t>
  </si>
  <si>
    <t xml:space="preserve">Technologie du Futur</t>
  </si>
  <si>
    <t xml:space="preserve">Le NOUVEAU moteur de HONDA va TRANSFORMER toute l’industrie des véhicules électriques ! (311,000) | BYD CEO: "This New Engine Will Destroy the Entire Electric Vehicle Industry!" (196,000) | Toyota CEO: "This NEW $17,999 car is going to shake up the entire EV industry!" (122,000) | Le désastre de Mercedes : l’effondrement que personne n’avait vu venir ! (103,000)</t>
  </si>
  <si>
    <t xml:space="preserve">Forgotten American Farm &amp; Country Life</t>
  </si>
  <si>
    <t xml:space="preserve">30 Things Every American Farmhouse Had in the 1950s (Now Completely Gone) (310,000) | 25 Strange Features on Old American Barns That Had a Brilliant Purpose (221,000) | 25 Things Only Kids Who Grew Up on American Farms in the 1960s Will Understand (182,000) | 30 Things Every Farmhouse Kitchen Had in the 1950s (That No One Owns Anymore) (117,000)</t>
  </si>
  <si>
    <t xml:space="preserve">The Red Keep</t>
  </si>
  <si>
    <t xml:space="preserve">HOTD</t>
  </si>
  <si>
    <t xml:space="preserve">Dizi lore analizi (House of the Dragon)</t>
  </si>
  <si>
    <t xml:space="preserve">The Ulf Problem Nobody's Taking Seriously (94,000) | You’re Misunderstanding the Dragon Fight (91,000) | Gwayne Hightower Deserves More Credit (84,000) | Daeron Targaryen Explained: The Prince the Show Hid for 2 Seasons (80,000)</t>
  </si>
  <si>
    <t xml:space="preserve">BibleJourney</t>
  </si>
  <si>
    <t xml:space="preserve">Stop Overthinking. (The Biblical Habit That Changes Your Mind) (445,000) | Train Your Emotions. (The Bible's Hidden Secret for Self-Control) (218,000) | Train Your Brain. (The Bible's Hidden Secret for Peace) (182,000) | Stop Overthinking. (What the Bible Says About Your Stressed Mind) (136,000)</t>
  </si>
  <si>
    <t xml:space="preserve">HOA Life Stories</t>
  </si>
  <si>
    <t xml:space="preserve">HOA Destroyed My Cattle Bridge for a Violation—Then 600 Longhorns Used Their Main Road (23,000) | HOA Sent 14 Guards to Force Me Off My Ranch—Then I Arrested Their President as County Sheriff (22,000) | HOA Gave Me 48 Hours to Move My Fence—Then the Survey Cost Her 17 Lots and $4.2M Overnight (21,000) | HOA Stored 400 Wine Barrels in My Barn—Then Their Lawsuit Gave Me the Entire $2.8M Collection (21,000)</t>
  </si>
  <si>
    <t xml:space="preserve">Sleepy Time Mystery</t>
  </si>
  <si>
    <t xml:space="preserve">The Book of Jubilees: The Forbidden Timeline That Records History BEFORE Adam? History for Sleep (72,000) | The 8th Civilization - Signs We're Already Living Through the Next Reset (65,000) | We Are The 7th Civilization: The ONE Pattern Every Reset Has in Common | History for Sleep (64,000) | We Are the 7th Civilization: The 12,000-Year Cycle That KEEPS Resetting Human History? (62,000)</t>
  </si>
  <si>
    <t xml:space="preserve">Industrie Akte</t>
  </si>
  <si>
    <t xml:space="preserve">12 German Farm and Construction Machinery Makers Facing Collapse in 2026 (180,000) | These 12 Famous German Auto Suppliers Are Heading for Collapse in 2026 (153,000) | 12 German Machine Tool Makers Facing Collapse in 2026 (106,000) | Why nobody wants to ride a Zündapp anymore (66,000)</t>
  </si>
  <si>
    <t xml:space="preserve">Real Crime Archives</t>
  </si>
  <si>
    <t xml:space="preserve">3 Year Old Said Dad Buried Mom Nobody Listened (394,000) | Trapped in a Basement for 24 Years by Her Own Dad (288,000) | Locked in a Cell 6 Feet Underground for 8 Years (135,000) | Kidnapped at 11 and Held for 18 Years in a Backyard (57,000)</t>
  </si>
  <si>
    <t xml:space="preserve">CurioStick</t>
  </si>
  <si>
    <t xml:space="preserve">Why do we NEVER eat PREDATOR meat? (2,300,000) | Why Do Wild Animals Fear Us While We Sleep? (1,200,000) | Why Do ANIMALS Choose Us Over Their Own Kind? (272,000) | Why Do Animals That Eat ROTTEN MEAT Exist? (255,000)</t>
  </si>
  <si>
    <t xml:space="preserve">WALTER | KNOW YOUR RIGHTS</t>
  </si>
  <si>
    <t xml:space="preserve">Tricks Cops Use the SECOND You Roll Down Your Window (1,100,000) | LAWYER: If Cops Say "I Smell Marijuana" — Say THESE WORDS (743,000) | LAWYER: If Cops Say "Where Are You Coming From?" — Say THIS (One Sentence) (415,000) | LAWYER: If Cops Say "Step Out of the Car" — Say THIS (Simple Phrase) (221,000)</t>
  </si>
  <si>
    <t xml:space="preserve">The Top Tech Insider</t>
  </si>
  <si>
    <t xml:space="preserve">5 Phone Brands ROBBING You Blind and 5 That Are Worth The Money (212,000) | 10 Phone Brands That Will Be DEAD By 2030 (109,000) | 5 CHEAP Phones Everyone Ignores (But They're Goldmines) (103,000) | If I Had to Buy a Phone TODAY, This Is What I'd Get (81,000)</t>
  </si>
  <si>
    <t xml:space="preserve">Atlas VTT</t>
  </si>
  <si>
    <t xml:space="preserve">software, tech, programming</t>
  </si>
  <si>
    <t xml:space="preserve">10 gün</t>
  </si>
  <si>
    <t xml:space="preserve">Obsidian Is Now a Free Virtual Tabletop (695,000) | I Made Obsidian a Free VTT. Here's How to Set It Up (21,000)</t>
  </si>
  <si>
    <t xml:space="preserve">Yunyu Animation</t>
  </si>
  <si>
    <t xml:space="preserve">anime, animation, stories</t>
  </si>
  <si>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On méprise ma bête, je domine tout le monde#SérieIntégraleChinoise #Anime (157,000)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Tous mes guerriers sont rang SSS#SérieIntégraleChinoise #Anime (101,000)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Tous ceux qui se moquent de moi finissent écrasés#SérieIntégraleChinoise #Anime (97,000) | </t>
    </r>
    <r>
      <rPr>
        <sz val="10"/>
        <rFont val="WenQuanYi Zen Hei"/>
        <family val="2"/>
      </rPr>
      <t xml:space="preserve">【</t>
    </r>
    <r>
      <rPr>
        <sz val="10"/>
        <rFont val="Arial"/>
        <family val="0"/>
        <charset val="1"/>
      </rPr>
      <t xml:space="preserve">FULL</t>
    </r>
    <r>
      <rPr>
        <sz val="10"/>
        <rFont val="WenQuanYi Zen Hei"/>
        <family val="2"/>
      </rPr>
      <t xml:space="preserve">】</t>
    </r>
    <r>
      <rPr>
        <sz val="10"/>
        <rFont val="Arial"/>
        <family val="0"/>
        <charset val="1"/>
      </rPr>
      <t xml:space="preserve">Invocateur : Du mépris à la gloire#SérieIntégraleChinoise #Anime (92,000)</t>
    </r>
  </si>
  <si>
    <t xml:space="preserve">The Mind</t>
  </si>
  <si>
    <t xml:space="preserve">Before He Died, a 96-Year-Old Tibetan Monk Revealed What Mount Kailash REALLY Is — It’s Terrifying! (328,000) | World in Shock! The Final Words of an Ethiopian Monk About Jesus Christ Are Raising Serious Question (157,000) | What Mel Gibson Found in the Ethiopian Bible Reveals Shocking Truth About Jesus! (156,000) | Tibetan Monks Finally Reveal the Truth About Mount Kailash — What They Revealed Is Haunting! (113,000)</t>
  </si>
  <si>
    <t xml:space="preserve">Reddy</t>
  </si>
  <si>
    <t xml:space="preserve">video games, game development, animation</t>
  </si>
  <si>
    <t xml:space="preserve">200x FIRE ZOMBIE + 1x GIANT vs EVERY GOD Totally Accurate Battle Simulator TABS (620,000) | 100x GINGERBREAD + 1x GIANT vs EVERY GOD - Totally Accurate Battle Simulator TABS (134,000) | 100x MINECRAFT CREEPER + 2x GIANT vs 3x EVERY GOD Totally Accurate Battle Simulator TABS (85,000) | 100x ZOMBIE + 1x GIANT vs EVERY GOD Totally Accurate Battle Simulator TABS (73,000)</t>
  </si>
  <si>
    <t xml:space="preserve">You Tube star</t>
  </si>
  <si>
    <t xml:space="preserve">tennis</t>
  </si>
  <si>
    <t xml:space="preserve">🔴 LIVE: Alex Eala vs Iva Jovic | US Open 2026 Round 3 — EPIC SHOWDOWN! Alex’s Biggest Test! 🔥🎾🇵🇭 (50,000) | 🚨 Alex Eala Shows Up for Elina Svitolina’s Birthday — Their EMOTIONAL Moment Goes Viral! ❤️🎾 (45,000) | SHOCKING! Alex Eala’s Ranking CRASHES After Heartbreaking US Open Loss — Filipino Fans DEVASTATED! 🔥 (44,000) | ALEX EALA LANDS IN SINGAPORE! 🇵🇭 Singapore Open President Delivers a STUNNING VIP Welcome! 😱🎾 (44,000)</t>
  </si>
  <si>
    <t xml:space="preserve">Deep Cops</t>
  </si>
  <si>
    <t xml:space="preserve">2026-08-08</t>
  </si>
  <si>
    <t xml:space="preserve">When The Most Arrogant Cops' Wives Ever Think They're Above The Law (252,000) | When Sovereign Citizens Try Pulling The Wrong Cop's Chain And Get Humbled (140,000) | When “Friendly” ENTITLED Lawyers' Daughters Think They're Untouchable (54,000) | When Delusional Rich Karens Get Humiliated By Cops (43,000)</t>
  </si>
  <si>
    <t xml:space="preserve">The Palace Expedition</t>
  </si>
  <si>
    <t xml:space="preserve">1 MIN AGO: Princess Anne's Last Public Role — Crowning Catherine As Family's New Leader (250,000) | 4 MIN AGO: Camilla COLLAPSES After Royal Council Hands Catherine Her Queen Consort Title (160,000) | 4 MIN AGO: Camilla COLLAPSES After Royal Council Strips Her Title &amp; Hands It To Catherine (98,000) | 4 MIN AGO: Camilla COLLAPSES After Pivory Council Hands Catherine His Queen Title (84,000)</t>
  </si>
  <si>
    <t xml:space="preserve">Zuri Stories</t>
  </si>
  <si>
    <t xml:space="preserve">stories, reality tv, society</t>
  </si>
  <si>
    <t xml:space="preserve">My Sister Said "Stop Begging" at Thanksgiving. I Canceled the 5 Payments Covering Her $52.8K Debt (34,000) | Dad Forgot to Hang Up Before His Italy Trip. I Sold the House Before He Came Back (33,000) | My Sister Drugged My Wedding Champagne. I Swapped Glasses and Let Her Toast Herself (19,000) | They Laughed Because I Was Still Unmarried. Then I Said, "My Wedding Was 8 Months Ago" (14,000)</t>
  </si>
  <si>
    <t xml:space="preserve">Now it</t>
  </si>
  <si>
    <t xml:space="preserve">Scientists Compared Jewish DNA to Every Race on Earth — The Results Shocked Everyone (864,000) | If You Have Type O Positive Blood — DNA Finally Revealed The Truth (688,000) | AFTER 8400 YEARS—Scientists Finally Solved The Armenian DNA Mystery (74,000) | ARCHAEOLOGIST Compared Arab DNA Across 20 Countries — One Result Shocked Everyone (74,000)</t>
  </si>
  <si>
    <t xml:space="preserve">SecretosDePareja</t>
  </si>
  <si>
    <t xml:space="preserve">Divorciada, Volví Con Mis Padres.A Medianoche Oí Un Ruido, Miré, Palidecí... ¡Y Huí Con Mi Hijo😱🏃‍♀️ (189,000) | Antes De La Anestesia Para Donar Riñón A Mi Esposo, La Enfermera Me Dio Ropa: "Huye, Te Sacarán.."⁉😨 (156,000) | 💍Casados 4 Días, Se Accidentó. Lo Cuidé 3 Años. Gané 3m€, Volví A Casa Para Curarlo Y Descubrí...😱 (139,000) | Ante 200 Personas, Mi Marido Gritó: "Subasto El Lavaplatos A 10€". Pero Un Hombre Se Paró Y Dijo...⁉ (131,000)</t>
  </si>
  <si>
    <t xml:space="preserve">Farmer Fights Back</t>
  </si>
  <si>
    <t xml:space="preserve">rural living</t>
  </si>
  <si>
    <t xml:space="preserve">The County Ordered Her 46 Cattle Off the Pasture—Then She Showed Them Who Actually Owned the Access (163,000) | The Rich Rancher Burned Her Haystack—He Didn't Know It Was Saving His Cattle (73,000) | A Rich Neighbor Drove 72 Cattle Onto a Widow’s Hay Field—Then She Locked the Gate Beh (60,000) | A Developer Drove 34 Horses Through a Widow’s Pasture Every Morning—Until She Closed His Only Exit (54,000)</t>
  </si>
  <si>
    <t xml:space="preserve">The Catholic Comeback - by Jonah</t>
  </si>
  <si>
    <t xml:space="preserve">What Does Pope Leo XIV Actually Eat — And Who Cooks for Him? (186,000) | What Pope Leo XIV Really Does on His Day Off? (161,000) | Who Is the Man Always Whispering to Pope Leo XIV? (100,000) | Pope Leo XIV in France — 10 Moments Nobody Will Forget (84,000)</t>
  </si>
  <si>
    <t xml:space="preserve">Bodycam Spike</t>
  </si>
  <si>
    <t xml:space="preserve">crime, police bodycam, investigative documentaries</t>
  </si>
  <si>
    <t xml:space="preserve">Baby Found Dead Inside Trash Can While Parents Passed Out on Drugs (203,000) | Mom Gives Birth and Buries Newborn in a Bucket Before Going to Work Like Nothing Happened (194,000) | 13-Month-Old Baby Dies After Mom Leaves Her in a Hot Car for 7 Hours (129,000) | 17-Year-Old Shoots Lady Uber Driver 6 Times, Then Flees the Scene (78,000)</t>
  </si>
  <si>
    <t xml:space="preserve">Holmes Legacy</t>
  </si>
  <si>
    <t xml:space="preserve">SHERLOCK</t>
  </si>
  <si>
    <t xml:space="preserve">Sherlock Holmes AI tam gizem (uyku)</t>
  </si>
  <si>
    <t xml:space="preserve">literature</t>
  </si>
  <si>
    <t xml:space="preserve">The Empty Train From Dover | A Sherlock Holmes Mystery (97,000) | Murder on the Last Carriage | A Sherlock Holmes Mystery (64,000) | The Poisoned Letter from Edinburgh | A Sherlock Holmes Mystery (37,000) | The Missing Heir of Winter Hall | A Sherlock Holmes Mystery (24,000)</t>
  </si>
  <si>
    <t xml:space="preserve">221B Archive</t>
  </si>
  <si>
    <t xml:space="preserve">The Dead Man Found at King's Cross | A Sherlock Holmes Mystery (50,000) | The Case Holmes Nearly Refused | A Sherlock Holmes Full Mystery (15,000) | The Woman Who Returned After Twenty Years | A Sherlock Holmes Mystery (13,000) | The Housekeeper's Final Confession | A Sherlock Holmes Mystery (12,000)</t>
  </si>
  <si>
    <t xml:space="preserve">CORZIUM</t>
  </si>
  <si>
    <t xml:space="preserve">What Oil Extraction Does to Earth (No One Talks About This) (527,000) | How High Can We Build Before Physics Stops Us? (458,000) | How Deep Can a Submarine Go Before the Ocean Crushes It (249,000) | 12,262 Meters Into Hell (234,000)</t>
  </si>
  <si>
    <t xml:space="preserve">Fatal Atrocities</t>
  </si>
  <si>
    <t xml:space="preserve">She Waited 5 Years For Him To Come Home From Prison—9 Days Later She Was Found Shot Dead In Her Jeep (50,000) | Mom Drove With Her 5 Children When Gunfire Erupted—Her Daughter Was Shot, Mom Says No Road Rage (36,000) | Jacksonville Father Hugged His Daughters, Then Shot Their Mother 15 Times (33,000) | Her Mother Gave Him Access to Her for Money — 5-Year-Old Kamarie Holland Was Found Dead Hours Later (23,000)</t>
  </si>
  <si>
    <t xml:space="preserve">The Working Man's Code</t>
  </si>
  <si>
    <t xml:space="preserve">25 Unspoken Rules Every 1960s Construction Worker Followed That Would Get You Fired Today (118,000) | 25 Unspoken Rules Every 1950s Factory Man Followed That Would Get You Fired Today (80,000) | 20 Ways Old-School Foremen Tested New Workers That Would Never Be Allowed Today (75,000) | 25 Tricks Old-School Truckers Used Before GPS That Modern Drivers Can't Imagine (62,000)</t>
  </si>
  <si>
    <t xml:space="preserve">Earthbound Wildlife</t>
  </si>
  <si>
    <t xml:space="preserve">The Last 24 Hours of the Dinosaurs — Minute by Minute (622,000) | The Only Time in History Bugs Ruled the Earth (And It Was Terrifying) (420,000) | When Earth Had ZERO Ice — What Lived Here Will Haunt You (289,000) | The First Empire on Earth Vanished Without a Trace — Here's Why (137,000)</t>
  </si>
  <si>
    <t xml:space="preserve">Corona Secreta</t>
  </si>
  <si>
    <t xml:space="preserve">¡La hermana de Diana LANZA una bomba mientras el SECRETO MÁS OSCURO de Camilla queda EXPUESTO! (122,000) | William's FIRST appearance as King STUNS, Camilla's family left speechless! (104,000) | Charles stuns the nation! Princess Anne receives the title of Royal Regent! (101,000) | Prince William STUNS Camilla's family with a shocking inheritance decision (92,000)</t>
  </si>
  <si>
    <t xml:space="preserve">Margin</t>
  </si>
  <si>
    <t xml:space="preserve">math</t>
  </si>
  <si>
    <t xml:space="preserve">Only Video That Will Make You BETTER at MATH - 100% (1,500,000) | Every Famous Number, Explained: From Pi to the Unknowable (269,000) | CHANGING your PERSPECTIVE on MATHS fellas - Must Watch (175,000) | Every Dimension, Explained (0D to Infinity) (77,000)</t>
  </si>
  <si>
    <t xml:space="preserve">Floridian Living</t>
  </si>
  <si>
    <t xml:space="preserve">travel</t>
  </si>
  <si>
    <t xml:space="preserve">12 Unpopular Florida Towns Where Retirees Truly Thrive (241,000) | 12 Most HATED Towns in Florida — #2 Will Genuinely Shock You (234,000) | 11 Florida Towns That Almost Never Flood — Even During Hurricane Season (151,000) | 12 OFF-GRID Floridan Towns Where You Can Live For Almost Nothing (142,000)</t>
  </si>
  <si>
    <t xml:space="preserve">Mexico Ahora</t>
  </si>
  <si>
    <t xml:space="preserve">politics, news, geo politics</t>
  </si>
  <si>
    <t xml:space="preserve">PANAMÁ PIDE AYUDA A MÉXICO Quiere que SHEINBAUM Defienda su CANAL (152,000) | TEXANS TOOK OVER MEXICAN LAND AND WATER… Until GRANDPA’S PAPERS Appeared (53,000) | THE BORDER WATER THEFT: Who is behind this illegal activity? (21,000) | ARRASABAN LOS BOSQUES DE MÉXICO: Aseguran 3.000 m³ de MADERA y Clausuran 27 Sitios (19,000)</t>
  </si>
  <si>
    <t xml:space="preserve">Prehistoria en Español TV</t>
  </si>
  <si>
    <t xml:space="preserve">Hațeg Island | Where Flying Dinosaurs Were the Apex Predators | Documentary (823,000) | Life 1.9 Million Years Ago | How Humans Managed to Survive Prehistory | Documentary (359,000) | After the Dinosaurs: Beasts of the Ice Age | Full Documentary (323,000) | What the Ice Age Was Like: This Is What It Was Like to Survive the Planet's Most Extreme Era (313,000)</t>
  </si>
  <si>
    <t xml:space="preserve">Fork Lore</t>
  </si>
  <si>
    <t xml:space="preserve">The History of Papaya — The Strange Fruit That Digests Your Food (137,000) | The History of Pizza — The Poor Man’s Food That Conquered the World (134,000) | The History of French Fries — The Food Everyone Fights Over (119,000) | he History of Malt Liquor — The Drink America Tried to Forget (91,000)</t>
  </si>
  <si>
    <t xml:space="preserve">Fleurons Perdus</t>
  </si>
  <si>
    <t xml:space="preserve">Pif Gadget : Le Journal que Tous les Enfants de France Attendaient. Le Dernier Gadget s'est Cassé (192,000) | Singer : Une Machine à Coudre Dans Chaque Foyer Français. Tous les Magasins ont Fermé (162,000) | Meccano: The Toy That Built Generations of French Engineers. The Last Bolt Has Been Turned. (73,000) | Monet-Goyon: The Motorcycle of Rural France. The Engine Stalled in Mâcon (51,000)</t>
  </si>
  <si>
    <t xml:space="preserve">Mente en Corto</t>
  </si>
  <si>
    <t xml:space="preserve">The PSYCHOLOGY of people who prefer staying HOME ALONE (605,000) | The PSYCHOLOGY of Generation X (born between 1965 - 1980) (354,000) | La PSICOLOGIA de las personas que MANTIENEN su casa ordenada y LIMPIA (131,000) | The PSYCHOLOGY of MILLENNIALS (born between 1981 - 1996) (26,000)</t>
  </si>
  <si>
    <t xml:space="preserve">Creepbound</t>
  </si>
  <si>
    <t xml:space="preserve">horror stories, paranormal, urban legends</t>
  </si>
  <si>
    <t xml:space="preserve">6 Most Disturbing Moments in TV History (157,000) | 6 Most Disturbing Cases of Real Found Footage (102,000) | When Urban Explorers Find Things That Shouldn’t Be There (68,000) | Horrors on the Arabic Internet (50,000)</t>
  </si>
  <si>
    <t xml:space="preserve">NumiNorth</t>
  </si>
  <si>
    <t xml:space="preserve">COINS</t>
  </si>
  <si>
    <t xml:space="preserve">Madeni para koleksiyonu</t>
  </si>
  <si>
    <t xml:space="preserve">collecting, investing, antiques</t>
  </si>
  <si>
    <t xml:space="preserve">💰 Why Coin Dealers Are Hunting For These 3 Canadian Dimes! (74,000) | Millions of Canadian Quarters Exist… But These Could Be Extremely Valuable! (34,000) | 💎 The Canadian Loonie &amp; Toonie Every Collector Is Searching For! 🇨🇦 (30,000) | 💰 Millions of Canadian Nickels Exist… But These Could Be Extremely Valuable! (27,000)</t>
  </si>
  <si>
    <t xml:space="preserve">Combax mma</t>
  </si>
  <si>
    <t xml:space="preserve">ufc &amp; mma</t>
  </si>
  <si>
    <t xml:space="preserve">Islam Makhachev vs Ian Machado Garry | UFC 330 Full Fight (1,500,000) | ISLAM MAKHACHEV vs IAN MACHADO GARRY — FULL FACE OFF | UFC 330 (350,000) | Ryan Garcia vs Conor Benn | Full Fight Highlights (338,000) | Umar Nurmagomedov vs Song Yadong FULL FIGHT HIGHLIGHTS | UFC Shanghai 2026 (248,000)</t>
  </si>
  <si>
    <t xml:space="preserve">The Watchroom</t>
  </si>
  <si>
    <t xml:space="preserve">No One In The Northern Hemisphere Is Ready For Winter 2027 (237,000) | The Terrifying Truth About the Fault Beneath Los Angeles (181,000) | The Nepal Superflood Is A Warning America Can't Ignore... Here's Why (174,000) | The Ocean Around Florida Just Crossed A Dangerous Line No One Saw Coming (156,000)</t>
  </si>
  <si>
    <t xml:space="preserve">Secretos de Palacio</t>
  </si>
  <si>
    <t xml:space="preserve">royalty, celebrity, pop news &amp; gossip</t>
  </si>
  <si>
    <t xml:space="preserve">Five minutes ago: Prince William and Catherine confirm that Camilla has been stripped of her... (472,000) | HACE 5 MINUTOS: William y Catherine CONFIRMAN que Carlos da un paso al costado— ¡Camila en lágrimas! (285,000) | HACE 1 MINUTO: El rey Carlos CONFIRMA que Camila ha sido oficialmente excluida de todas las ... (136,000) | El rey Carlos EXPULSA a Camila de Clarence House y se la ENTREGA a la princesa Sophie (74,000)</t>
  </si>
  <si>
    <t xml:space="preserve">Vs yeh</t>
  </si>
  <si>
    <t xml:space="preserve">animation, minecraft, horror stories</t>
  </si>
  <si>
    <t xml:space="preserve">JERRY vs ALL VERITY: DAWN OF CHAOS (285,000) | VERITY + MANIPULITY + NULLITY + CRUELITY + CURIOSITY ❤️ LOVITY 🍒 ADDON IN MINECRAFT (FALSITY) (281,000) | TORMENTOR VS ALL VERITY MODS In battle Minecraft (212,000) | CRUELITY + VERITY + GOD VERITY + NULLITY + CURIOSITY 🩷 LOVITY 🍓 addon in minecraft (210,000)</t>
  </si>
  <si>
    <t xml:space="preserve">Richard Uncovers Humanity</t>
  </si>
  <si>
    <t xml:space="preserve">KZ</t>
  </si>
  <si>
    <t xml:space="preserve">Extinct Human Species Get Worse the More You Learn About Them (157,000) | The 9 Human Species That Walked the Earth at the Same Time (126,000) | What the Hopi Said Was the Scariest Human That Ever Lived (91,000) | 6 Scariest Ancient Human Bodies Found Frozen in Ice (66,000)</t>
  </si>
  <si>
    <t xml:space="preserve">Ciberpedia</t>
  </si>
  <si>
    <t xml:space="preserve">tech, computers, reviews</t>
  </si>
  <si>
    <t xml:space="preserve">All GPU Technologies Explained in 7 Minutes (299,000) | Todas las Marcas de Laptops Explicadas en 10 Minutos (286,000) | All AMD Processors Explained in 10 Minutes (180,000) | Todas las Marcas de Mouse Explicadas en 10 Minutos (168,000)</t>
  </si>
  <si>
    <t xml:space="preserve">Auras Ocultas</t>
  </si>
  <si>
    <t xml:space="preserve">Se Elevó del Suelo Frente a un Papa: La Increíble Historia de San José de Cupertino (261,000) | Jacinta Marto: The Girl Who Saw Hell at 7 and Never Stopped Talking About It (118,000) | Saint John Bosco: Was His Dog Grigio a Guardian Angel? (37,000) | El Papa Pío X: El Cuerpo Que Nunca Se Corrompió (37,000)</t>
  </si>
  <si>
    <t xml:space="preserve">Marca Descifrada</t>
  </si>
  <si>
    <t xml:space="preserve">5 Polo Brands You Should NEVER Buy (And 3 That Actually Last) (545,000) | 6 Outdoor Brands You Need to Stop Buying in 2026 (And 3 That Are Worth It) (383,000) | 5 Cheap Men's Clothing Brands Everyone Ignores (They're Real Gems) (295,000) | 7 Sneaker Brands That Are Actually Worth the Money (287,000)</t>
  </si>
  <si>
    <t xml:space="preserve">Mirror Within</t>
  </si>
  <si>
    <t xml:space="preserve">Kicked Out at 18, She Bought an Abandoned Motel For $10 — What She Found in Room 7 Shocked... (929,000) | Homeless at 18, She Inherited an Apple Farm From Her Late Grandfather She Never Met — What He Hid... (75,000) | Everyone Laughed When a Homeless Teen Spent His Last $10 on a Storage Unit Nobody Wanted... (12,000) | Her Sisters Laughed When They Left Her the $5 Farmhouse — Unaware of What Was Buried Beneath It... (10,000)</t>
  </si>
  <si>
    <t xml:space="preserve">Logical Money</t>
  </si>
  <si>
    <t xml:space="preserve">AE</t>
  </si>
  <si>
    <t xml:space="preserve">Renting Vs Buying a Home - The Real Math (1,500,000) | Real Estate vs Stocks - Which Makes More Money? (The Real Math) (173,000) | 8 Minimalist Money Habits to Stay Financially Stable (136,000) | Why Looking Poor Is SO Important | Logical Money (11,000)</t>
  </si>
  <si>
    <t xml:space="preserve">El Precio del Estrellato</t>
  </si>
  <si>
    <t xml:space="preserve">María Félix Su Propio Hermano la Desenterró... Lo que Hallaron los Peritos los Dejó Helados (720,000) | Cantinflas: 30 años de Secretos... El Oscuro Final Del Payaso Que Todos Amaron (506,000) | Humberto Zurita El ASQUEROSO Secreto de la Tumba... 5 Años ENCERRÓ a Christian Bach (362,000) | Diego Verdaguer La Foto del BESO que su Esposa Vio... y Destruyó Todo en 4 Palabras (313,000)</t>
  </si>
  <si>
    <t xml:space="preserve">The Planet Journal</t>
  </si>
  <si>
    <t xml:space="preserve">Living in Scotland | How People Live at the "Edge of the UK" | 4K Travel Documentary (1,100,000) | Living in Iceland | How People Live in the Land of "FIRE AND ICE" | 4K Travel Documentary (903,000) | Living in Sweden | How People Live in the World's Longest Winter | 4K Travel Documentary (260,000) | Living in Greenland | How People Live in the Harshest Arctic Villages | 4K Travel Documentary (132,000)</t>
  </si>
  <si>
    <t xml:space="preserve">Tomorrow Sky</t>
  </si>
  <si>
    <t xml:space="preserve">10 Affordable Personal eVTOL Aircraft You Can Actually Buy in 2026 (192,000) | 10 Aircraft You Can LEGALLY Fly Without a Pilot License in America (104,000) | 10 Most Forgiving &amp; Safest Airplanes That Are Nearly Impossible to Crash (65,000) | 10 New Airplanes Nobody Is Buying in 2026 – Even Though They're Incredible (30,000)</t>
  </si>
  <si>
    <t xml:space="preserve">Kargven</t>
  </si>
  <si>
    <t xml:space="preserve">2026-06-08</t>
  </si>
  <si>
    <t xml:space="preserve">US-Soldatin vs 4 Polizisten (680,000) | 3 Frauen lachen nach Diebstahl bis die Ausländerbehörde kommt (598,000) | Die ganze Polizei will Rache für ihren getöteten Kollegen (382,000) | Illegale lachen nach dem Diebstahl, bis die Abschiebung kommt (323,000)</t>
  </si>
  <si>
    <t xml:space="preserve">Ancient Human</t>
  </si>
  <si>
    <t xml:space="preserve">science, future &amp; discoveries, scifi stories</t>
  </si>
  <si>
    <t xml:space="preserve">Why the Terminator Is Actually Impossible (94,000) | Why Iron Man Is Actually the Most Unrealistic Superhero (83,000) | Batman Is Scientifically Impossible… And Here’s the Proof (57,000) | Hawkeye Is Scientifically Impossible… And Here’s the Proof (31,000)</t>
  </si>
  <si>
    <t xml:space="preserve">La Última Captura</t>
  </si>
  <si>
    <t xml:space="preserve">Cruzaron medio océano sin llamar la atención de nadie… EL MAYOR DECOMISO DE LA HISTORIA DE ESTE PAÍS (549,000) | WANTED BY INTERPOL: "THE MILLIONAIRE WIDOW" WHO HAD HER HUSBAND KILLED AND FLED WITH 1.5 MILLION (207,000) | BUSCADA POR LA PNC Y EL ICE: MAT0 POR LA MS-13 Y SE ESCAPÓ | ÚLTIMO PARADERO VIRGINIA USA (96,000) | Creyeron que El Salvador era el último lugar del mundo donde los buscarían. LA INTERPOL LOS ENCONTRÓ (84,000)</t>
  </si>
  <si>
    <t xml:space="preserve">The Iron Gospel</t>
  </si>
  <si>
    <t xml:space="preserve">Louis Cyr - The Strongest Man In Recorded History (169,000) | The Giant Lumberjack Who Dwarfed Lou Ferrigno (118,000) | The Giant Fisherman Who Made Big Show Look Average (108,000) | Arthur Saxon - The Strongest Man Ever (106,000)</t>
  </si>
  <si>
    <t xml:space="preserve">La Pizarra Explica Religión</t>
  </si>
  <si>
    <t xml:space="preserve">christianity, history, education</t>
  </si>
  <si>
    <t xml:space="preserve">The Deep Meaning of the Lord's Prayer: A Journey Through History and Theology (628,000) | What is Corpus Christi and Why Is It Celebrated? Origin, Meaning, and History (73,000) | Stop thinking you don't have time for God: Do THIS (69,000) | How to Pray the Rosary CORRECTLY (Step by Step) (35,000)</t>
  </si>
  <si>
    <t xml:space="preserve">Un Passé Terrifiant</t>
  </si>
  <si>
    <t xml:space="preserve">24H Dans La Peau d'un Esclave dans une Plantation (86,000) | 24H Dans La Peau d’Un Soldat Pendant la Guerre du Vietnam (77,000) | 24 Hours in the Life of a WWI Soldier (75,000) | 24H Dans La Peau d'un Passager du Titanic (14 avril 1912) (73,000)</t>
  </si>
  <si>
    <t xml:space="preserve">Hoofed</t>
  </si>
  <si>
    <t xml:space="preserve">Why No Horse Will Ever Break Secretariat's Belmont Record (358,000) | What the Cameras Missed During Secretariat's Greatest Race (237,000) | What the Cameras Missed During Golden Tempo's Stunning Belmont Win (112,000) | The Fastest Horse in Human History Isn't Who You Think (103,000)</t>
  </si>
  <si>
    <t xml:space="preserve">Strong Dragon Manhwa</t>
  </si>
  <si>
    <t xml:space="preserve">anime, history, storys</t>
  </si>
  <si>
    <t xml:space="preserve">In The 1920s, What Did I Do To Turn Italy Into Europe's Most Stable And Prosperous Economy? (63,000) | Reborn 76 years ago in the Changbai Mountains, I married a Mongolian girl and became wealthy. (40,000) | Start By Marrying Twin Sisters Then Farm Hunt And Conquer The World | Manhwa Recap (35,000) | How Did I Transform East Africa Into A Vast, Prosperous, And Powerful Domain? (26,000)</t>
  </si>
  <si>
    <t xml:space="preserve">Brand Authority</t>
  </si>
  <si>
    <t xml:space="preserve">5 Outdoor Clothing Brands Robbing You Blind! And 3 That Are Worth Every Penny (340,000) | WARNING: Costco Is Quietly Selling Designer Outdoor Brands — 10 Outdoor Items Everyone Needs To Buy (114,000) | 12 Famous Outdoor Clothing Brands Ranked From Worst To Best (108,000) | I Investigated 10 American Outdoor Brands (Only 2 Aren't Robbing You) (83,000)</t>
  </si>
  <si>
    <t xml:space="preserve">Le Discernement Biblique</t>
  </si>
  <si>
    <t xml:space="preserve">Si vous comprenez Ésaïe 53, vous comprenez toute la Bible… La Bible expliquée (190,000) | All the Gifts of the Holy Spirit Explained — And How to Discover Yours | The Bible Explained (183,000) | Si vous comprenez Matthieu 24, vous comprenez toute la Bible… | La Bible expliquée (67,000) | Laisse les morts ensevelir leurs morts — que voulait dire Jésus ? | Bible expliquée (56,000)</t>
  </si>
  <si>
    <t xml:space="preserve">Wild States</t>
  </si>
  <si>
    <t xml:space="preserve">15 Most Dangerous Animals in the Appalachian Mountains You Never Knew Lived There (551,000) | 11 Most Dangerous Animals Hiding in Texas That Locals Refuse to Go Near (337,000) | Mountain Lions Are Spreading Across Michigan — And No One Can Explain How (223,000) | Wild Fishers Are Returning to America And What They Do Terrify Entire Towns (153,000)</t>
  </si>
  <si>
    <t xml:space="preserve">Faithverse</t>
  </si>
  <si>
    <t xml:space="preserve">STOP DOUBTING, TRUST GOD - Powerful Motivational Speech Video (130,000) | GOD SAYS, NEVER GIVE UP - Powerful Motivational Speech Video (60,000) | GOD TELLS YOU, DON'T STRESS - Powerful Motivational Speech Video (46,000) | GOD IS WATCHING, DON’T QUIT - Powerful Motivational Speech Video (46,000)</t>
  </si>
  <si>
    <t xml:space="preserve">Crime of Love</t>
  </si>
  <si>
    <t xml:space="preserve">Granddaughter Kills Her Entire Family... Over a Boy | East St. Louis Family Massacre (287,000) | She Swiped Right on a Stranger… Hours Later, She Was Dead | Lauren Smith-Fields Story (223,000) | New Evidence Just Surfaced In This Missing Girl's De@th… Javeayah Harris' Case Just Got Worse (202,000) | FBI Is NOW Involved In Nolan Wells Case — Here's What's Been Confirmed (110,000)</t>
  </si>
  <si>
    <t xml:space="preserve">LAGEBERICHT</t>
  </si>
  <si>
    <t xml:space="preserve">Ulrich Siegmund on Lanz: "I'm not done yet"! (380,000) | "There will be total upheaval in Berlin"! Tiede &amp; Patzelt on the state elections! (141,000) | SPD droht Rauswurf und zieht Merz mit in den Abgrund! Reichelt fassungslos! (76,000) | "Many citizens have had enough!" Stefan Aust &amp; Anna S. settle the score with German politics! (55,000)</t>
  </si>
  <si>
    <t xml:space="preserve">The Brush Pass</t>
  </si>
  <si>
    <t xml:space="preserve">The Classified Soviet Missile That Vaporized Its Own Creators (85,000) | The Terrifying 4-Kiloton Rocket Disaster the USSR Erased for 20 Years (65,000) | The Terrifying 135 Seconds That Erased Russia's Most Advanced Submarine (64,000) | Two Soviet Trains Vaporized in the Ural Forest (1,300 On Board) (57,000)</t>
  </si>
  <si>
    <t xml:space="preserve">Grid Rivals Español</t>
  </si>
  <si>
    <t xml:space="preserve">formula one</t>
  </si>
  <si>
    <t xml:space="preserve">Michael Schumacher Is Almost 58, and His Life Now Is Heartbreaking (228,000) | The Most Expensive F1 Drivers' Homes in Monaco (137,000) | Why F1 Drivers REALLY Fear Kimi Antonelli (129,000) | F1 Legends Finally Reveal How Ayrton Senna Really Died (120,000)</t>
  </si>
  <si>
    <t xml:space="preserve">Probably Fine</t>
  </si>
  <si>
    <t xml:space="preserve">Worst Punishments in Human History (1,700,000)</t>
  </si>
  <si>
    <t xml:space="preserve">How Ships Work</t>
  </si>
  <si>
    <t xml:space="preserve">Inside the Captain’s Private Cabin on a 1,300-Foot Container Ship (501,000) | What’s Inside a Cargo Ship’s Lifeboat — And How Sailors Would Live Inside It (371,000) | Facts About Life on Cargo Ships That Will Surprise You (306,000) | How Oil Rig Workers Sleep 200 Miles From Land (248,000)</t>
  </si>
  <si>
    <t xml:space="preserve">Foodora Quest</t>
  </si>
  <si>
    <t xml:space="preserve">Every Nut Explained: 15 Incredible Nuts With Hidden Stories You Never Knew (303,000) | Every Bean Explained: Which Ones Can Poison You, Feed Nations, and Change the Way You Eat Forever (224,000) | Every Mango Explained — 16 Incredible Varieties You Need to Try Before You Die (35,000) | 10 Amazing Omelettes From Around the World Explained — The Stories Behind Every Iconic Recipe (13,000)</t>
  </si>
  <si>
    <t xml:space="preserve">Mañanas En Oración</t>
  </si>
  <si>
    <t xml:space="preserve">Gracias Dios Por Este Nuevo Día Y Por Todas Tus Bendiciones | Oración de la Mañana (102,000) | Thank God | This Morning Prayer Will Change Your Day (77,000) | DALE GRACIAS A DIOS Hoy - Oración PODEROSA De GRATITUD Por Este Nuevo Día (68,000) | Oración de la Mañana | Comienza tu Día com Fe y Prosperidad | Confía en los Planes de Dios (51,000)</t>
  </si>
  <si>
    <t xml:space="preserve">Alte Zeiten</t>
  </si>
  <si>
    <t xml:space="preserve">The World Before Dinosaurs: The Forgotten Age of Giant Creatures - Documentary (122,000) | Die Steinzeit: Wie Die Ersten Menschen In Einer Wilden Welt Überlebten | Dokumentation (106,000) | 100,000 Years Ago: The Most Dangerous Time for Humans | Land of the Neanderthals (105,000) | Die ersten Menschen Alltag und Überleben unserer Vorfahren Dokumentation (77,000)</t>
  </si>
  <si>
    <t xml:space="preserve">CRIMEN ECUADOR</t>
  </si>
  <si>
    <t xml:space="preserve">crime, investigative journalism, court cases &amp; legal proceedings</t>
  </si>
  <si>
    <t xml:space="preserve">VIVÍA EN UNA MANSIÓN Y LO CAZARON CON DRONES 🔴 Así fue el final a tiros de "El Ecuatoriano" (100,000) | DIRIGÍA LA MAYOR UNIDAD QUE COMBATE AL CRIMEN ORGANIZADO 🔴 Cayó como narco (74,000) | 🚨 TENÍA EMPRESAS, UNA BODA DE LUJO Y NINGÚN ANTECEDENTE 🔴 era el Banco Secreto de Los Lobos (66,000) | LA FAMILIA MÁS GLAMUROSA DE NARANJAL OCULTABA UN CARTEL 🔴 Así se hundió la reina de la belleza (57,000)</t>
  </si>
  <si>
    <t xml:space="preserve">Kaboom</t>
  </si>
  <si>
    <t xml:space="preserve">The Fastest Poison We Ever Made — The History of Cyanide (223,000) | The Element That Put Fire in Every Pocket — The History of White Phosphorus (95,000) | The Acid That Eats Through Glass — The History of Hydrofluoric Acid (80,000) | The Explosive That Replaced TNT — The History of RDX (74,000)</t>
  </si>
  <si>
    <t xml:space="preserve">Ukraine Headlines</t>
  </si>
  <si>
    <t xml:space="preserve">geo politics</t>
  </si>
  <si>
    <t xml:space="preserve">Mass exodus! Russians are fleeing country by the thousands,Ukraine prepares new devastating attacks (66,000) | Russian capital under attack: Explosions, panic, and total security failure... (62,000) | Kazakhstan halts fuel supplies to Russia! Kremlin faces a fuel blockade (61,000) | Kazakhstan halts fuel supplies to Russia! Kremlin faces a fuel blockade (57,000)</t>
  </si>
  <si>
    <t xml:space="preserve">The Origin</t>
  </si>
  <si>
    <t xml:space="preserve">The History of Pepsi: The Drink Nobody Wanted (206,000) | The History of Cigarettes — Deadliest Product Ever Sold (133,000) | The History of Ice Cream — From Royal Luxury to Everyday Treat (107,000) | History of Beer — Why Drinking Beer Was Safer Than Drinking Water (75,000)</t>
  </si>
  <si>
    <t xml:space="preserve">The Final Chamber</t>
  </si>
  <si>
    <t xml:space="preserve">Chinese Monks Revealed Why Nobody Is Allowed to Climb Mount Kailash (410,000) | China’s Horse Experiment Transformed an Entire Desert — And Nobody Saw It Coming (389,000) | A New Predator Is Swallowing Pythons in Florida — The Footage Is Horrifying (366,000) | What Cameras Recorded After Jaguars Reappeared in America Is Hard to Believe (271,000)</t>
  </si>
  <si>
    <t xml:space="preserve">Drama Estelar</t>
  </si>
  <si>
    <t xml:space="preserve">Un hombre pobre se casa con la hija del alcalde, pero resulta ser un francotirador legendario#drama (400,000) | He abandoned her after one night together. Years later, she succeeds as a doctor and he regrets i... (306,000) | Por una herencia,un capitán homófobo convive con su hermanastro millonario y cae en unamor prohibido (279,000) | A urologist falls in love at first sight with a young race car driver and wants him by his side. (144,000)</t>
  </si>
  <si>
    <t xml:space="preserve">EON ATLAS</t>
  </si>
  <si>
    <t xml:space="preserve">Living in Bangladesh: Inside the World’s Most Crowded and Resilient Nation | 4K Travel Documentary (285,000) | Living in Indonesia: Inside the World's Largest Archipelago | 4K Travel Documentary (177,000) | Living in Brunei: Inside Asia’s Silent Oil Kingdom | 4K Travel Documentary (166,000) | Living in VietNam: : Life Inside Asia’s Most Resilient Nation | 4K Travel Documentary (111,000)</t>
  </si>
  <si>
    <t xml:space="preserve">Unerklärt</t>
  </si>
  <si>
    <t xml:space="preserve">anomalies and alternative science, history, science</t>
  </si>
  <si>
    <t xml:space="preserve">The monster shark off Alaska's coast is much bigger than expected (82,000) | The catfish below the Mississippi dams are changing – Divers made the discovery (77,000) | Scientists Finally Identify the Monster That Swallowed a Great White Shark Whole (55,000) | A giant dead shark was found off Australia — here is why experts are worried (40,000)</t>
  </si>
  <si>
    <t xml:space="preserve">YANKEE CRIME</t>
  </si>
  <si>
    <t xml:space="preserve">crime, court cases &amp; legal proceedings, investigative documentaries</t>
  </si>
  <si>
    <t xml:space="preserve">Christa Pike on Death Row: The Shocking Way She Will Be EXECUTED Inside the Death Chamber.. (87,000) | Christa Pike’s Last Hope! Supreme Court Has Stopped Executions Before... (11,000) | Clemency Still Unresolved — Christa Pike Makes One Last Request 5 Days Before Execution... (11,000) | Gov. Bill Lee Orders Probe Into Christa Pike’s BOTCHED Execution — In Coma After Failed Procedure... (9,100)</t>
  </si>
  <si>
    <t xml:space="preserve">Señor Blanco</t>
  </si>
  <si>
    <t xml:space="preserve">5 Exercises to Get Hands So Strong They Become DANGEROUS (324,000) | 3 Lethal Exercises for DANGEROUSLY Strong Hands (176,000) | Have Skinny Arms? Do THIS! (163,000) | 7 Isometric Exercises to Build Muscle at Home WITHOUT WEIGHTS (160,000)</t>
  </si>
  <si>
    <t xml:space="preserve">Tides of History: WWII</t>
  </si>
  <si>
    <t xml:space="preserve">The only country that celebrates their WWII occupation (1,500,000) | What REALLY happened to D-Day's weather forecast (Pressure Movie Fact vs Fiction) (669) | The forgotten Native American heroes of D-Day (316)</t>
  </si>
  <si>
    <t xml:space="preserve">Hika</t>
  </si>
  <si>
    <t xml:space="preserve">minecraft, youtube challenge videos, gaming</t>
  </si>
  <si>
    <t xml:space="preserve">Finir Minecraft avec un Block d'Eau (272,000) | J'ai Fini Minecraft Hardcore en Vitesse x1000 avec un Demi-Coeur (155,000) | Minecraft but dying is CHEATED (97,000) | I Built a 30 MILLION Block Ender Pearl Cannon (64,000)</t>
  </si>
  <si>
    <t xml:space="preserve">Radar Relojero</t>
  </si>
  <si>
    <t xml:space="preserve">collecting, reviews, fashion for men</t>
  </si>
  <si>
    <t xml:space="preserve">5 G-SHOCK que hacen INÚTIL a CUALQUIER smartwatch (234,000) | 5 Casio PRO TREK que parecen equipo de supervivencia (84,000) | 5 relojes Casio que los militares REALMENTE usan (75,000) | 7 G-Shock indestructibles que sí vale la pena comprar (63,000)</t>
  </si>
  <si>
    <t xml:space="preserve">Sheinbaum Hoy</t>
  </si>
  <si>
    <t xml:space="preserve">⚠️🦅SHEINBAUM UNEARTHED A VIDEO THAT THE PRI HID FOR 12 YEARS AND MEXICO HAS SEEN IT! (291,000) | 🇲🇽¡SHEINBAUM HUNDIÓ A ALITO: FUE A LA ONU A ACUSARLA Y UNA JUEZA LO BLOQUEÓ! (140,000) | 🇲🇽¡SHEINBAUM EXPONE A CALDERÓN; DEFENDIÓ AL N4RCO QUE ÉL MISMO ACUSÓ Y RUFFO DETENIDO! (97,000) | 🇲🇽¡ALITO MORENO EXPUESTO POR SHEINBAUM: FUE 10 VECES A EE.UU, TIENE VISA Y INVESTIGADO POR LAVADO! (94,000)</t>
  </si>
  <si>
    <t xml:space="preserve">FlipThatDrama Español</t>
  </si>
  <si>
    <t xml:space="preserve">🐺❤️La Luna Que El Rey Alfa Nunca Debió Amar (1,000,000) | 💔💥After Being Reborn, I Joined Their Biggest Hockey Rival (289,000) | 🔥⚔️El Borracho Que Todos Despreciaban Era el Verdadero Héroe del Reino (220,000) | 💔💥Tus Arrepentimientos Llegaron Demasiado Tarde (182,000)</t>
  </si>
  <si>
    <t xml:space="preserve">Savage Social Skills</t>
  </si>
  <si>
    <t xml:space="preserve">The Secret Behind Questions That Make People Get Close In 45min (850,000) | How To Socialize When You Don’t Know Anyone There? (173,000) | What Makes People Want To Have Relationship With You? (53,000) | Why Don't People Ask You Questions Back? (39,000)</t>
  </si>
  <si>
    <t xml:space="preserve">Quark</t>
  </si>
  <si>
    <t xml:space="preserve">What Do Animals Think Of Humans? (1,500,000) | Why Do Animals Fear Humans? (576,000) | What Animal Will Humans Domesticate Next? (339,000) | Do Animals Like Babies? (186,000)</t>
  </si>
  <si>
    <t xml:space="preserve">Dossier de Palacio</t>
  </si>
  <si>
    <t xml:space="preserve">royalty, pop news &amp; gossip, news</t>
  </si>
  <si>
    <t xml:space="preserve">Princesa Ana REVELA el Último Deseo del Rey para Guillermo: Harry QUEDA EN SHOCK (48,000) | ¡ALÉJATE DE MI MADRE! Louis sorprende a Camilla con Kate por la tiara de Diana y Anne ESTALLA (26,000) | ¡William REVELA la VERDAD sobre Archie y Lilibet! Harry y Meghan QUEDAN EN SHOCK tras el SECRETO (23,000) | ¡ÚLTIMA HORA! William SORPRENDE al Palacio con su MOVIMIENTO contra la hermana de Camilla (21,000)</t>
  </si>
  <si>
    <t xml:space="preserve">Uncle Oscar</t>
  </si>
  <si>
    <t xml:space="preserve">No Celebrity Has ZERO Filter Like Dolly Parton_and It's HILARIOUS! (2,000,000) | No Celebrity Has ZERO Filter Like Zendaya _ and It’s HILARIOUS! (931,000) | Hayden Panettiere Is Unintentionally HILARIOUS For 9 Minutes Straight! (274,000) | These Hayden Panettiere Bloopers Are ABSOLUTELY Hilarious! (84,000)</t>
  </si>
  <si>
    <t xml:space="preserve">Audio Heritage</t>
  </si>
  <si>
    <t xml:space="preserve">reviews, tech gadgets, education</t>
  </si>
  <si>
    <t xml:space="preserve">7 Japanese Hi-Fi Gems Nobody Is Buying Right Now (BIG Mistake!) (127,000) | 6 Music Streamers You NEED to Hear Before 2026 Ends! (55,000) | 15 Greatest CD Players Ever Made — #1 Is Absolutely Insane (23,000) | If You Can’t Hear SACD — Buy One of These 7 Legends (19,000)</t>
  </si>
  <si>
    <t xml:space="preserve">Really Long Text Chess</t>
  </si>
  <si>
    <t xml:space="preserve">Gooner DMs Analyzed Like Games of Chess | Sleep Compilation (351,000) | Flirting Analyzed Like Games of Chess | Sleep Compilation (54,000) | Weird DMs Analyzed Like Games of Chess | Sleep Compilation (52,000) | Actual Predators DMs Analyzed Like Games of Chess | Sleep Compilation (24,000)</t>
  </si>
  <si>
    <t xml:space="preserve">WonderScope</t>
  </si>
  <si>
    <t xml:space="preserve">Mariana Trench: What Scientists Found in the Deepest Place on Earth (101,000) | Albert Lin Reveals What the Terracotta Army Was Hiding — SHOCKING Tomb Discovery (60,000) | 4,000 Year Old Egyptian Tomb Mystery Solved: DNA Reveals the Truth (54,000) | Dead Sea Scrolls Reveal a Shocking Bible Secret — AI Found What Humans Missed (4,400)</t>
  </si>
  <si>
    <t xml:space="preserve">Petit Pois Review</t>
  </si>
  <si>
    <t xml:space="preserve">anime, animation, anime comic dubs</t>
  </si>
  <si>
    <t xml:space="preserve">Kicked Out by 18 Beauties, He Awakens His System and Becomes the King of the Island | Part 1 (142,000) | My Girlfriend Wanted a Baby With Her Ex, So I Married Someone Else | Full Version (73,000) | After My Reincarnation, My Whole Family Could Hear My Secret Thoughts | Full Series (62,000) | Reincarnated as a Triplet With My 2 Arch-Enemies, I Have a 10x Return System | Full (49,000)</t>
  </si>
  <si>
    <t xml:space="preserve">Letters from Britannia</t>
  </si>
  <si>
    <t xml:space="preserve">The 15 Oldest British Surnames Still in Use Today (614,000) | Are You Celt, Anglo-Saxon, Viking or Norman? The Four Bloods Of Britain (487,000) | 20 British Surnames That Reveal You Have Viking Blood (434,000) | Who Has the Closest DNA to the British? (101,000)</t>
  </si>
  <si>
    <t xml:space="preserve">Luna-Romance</t>
  </si>
  <si>
    <t xml:space="preserve">drama, stories, television</t>
  </si>
  <si>
    <t xml:space="preserve">My Father-in-Law Kicked Me Off the Table: "You're Not Family!"... So I Canceled the Million-Dolla... (271,000) | 10 Minutes Before We Were Married… He Chose Someone Else, So I Called the Man I Never Stopped Loving (144,000) | She mocked him for being poor… never imagining who he really was. (117,000) | Her Husband Called Her a “Servant” in Front of Everyone… Without Knowing She Was the Owner! (111,000)</t>
  </si>
  <si>
    <t xml:space="preserve">The Black Dissent</t>
  </si>
  <si>
    <t xml:space="preserve">usa politics, politics, social issues</t>
  </si>
  <si>
    <t xml:space="preserve">Must Watch: DNA Panic Hits Jewish Americans… The Israel Myth Just Collapsed (107,000) | They Tried to Intimidate Black People… And Got Completely Destroyed. FAFO (87,000) | Black people are fighting back… They are not staying quiet anymore…. FAFO (47,000) | Trump Fires 2,000 ICE Agents &amp; Forces Them to Pay Back $50,000 — Racism Just Got EXPENSIVE (25,000)</t>
  </si>
  <si>
    <t xml:space="preserve">FrutiNovelas - Novela de las Frutas</t>
  </si>
  <si>
    <t xml:space="preserve">animation, drama, stories</t>
  </si>
  <si>
    <t xml:space="preserve">The Fat Chef Everyone Kept Hidden Was the Restaurant’s True Star | FRUTINOVELA (266,000) | She Gave Everything For Her Three Children… But Once They Became Successful, They Were Ashamed Of... (228,000) | She Saved Him From The Illness… But He Betrayed Her With The Nurse | FRUTINOVELA (79,000) | She Lost Weight to Win Back Her Husband… But Found a Devastating Secret | FRUTINOVELA (76,000)</t>
  </si>
  <si>
    <t xml:space="preserve">Don Nocturno MX</t>
  </si>
  <si>
    <t xml:space="preserve">crime, investigative documentaries, paranormal</t>
  </si>
  <si>
    <t xml:space="preserve">4 Nuns DISAPPEARED In 1980: 28 Years Later The Priest Makes A TERRIFYING DISCOVERY (140,000) | Novia DESAPARECIÓ en el Altar (1996) — 21 Años Después, un VIDEO Reveló la ATERRADORA Verdad (101,000) | FOUND ALIVE: Veracruz Woman Rescued After 26 YEARS in Captivity (50,000) | The 1997 COLD CASE Everyone FORGOT Has Just Been SOLVED (18,000)</t>
  </si>
  <si>
    <t xml:space="preserve">FilmFlop</t>
  </si>
  <si>
    <t xml:space="preserve">Henry Cavill Sets a Brutal Rule for Warhammer 40K — Amazon Had No Choice (601,000) | Schwarzenegger, Keanu Reeves, Henry Cavill — Amazon's Secret Warhammer Weapon" (106,000) | Henry Cavill’s Gamble Just Paid Off — Here’s Proof (55,000) | Henry Cavill Isn't Holding Back: Warhammer 40K Series Major Update (53,000)</t>
  </si>
  <si>
    <t xml:space="preserve">WW2 Air Stories</t>
  </si>
  <si>
    <t xml:space="preserve">Japanese Pilots Radioed in panic "American Fighters Climbing Like Zeros" After First Met F6F Hellcat (92,000) | Japanese Pilots Laughed at this Grumman F6F Hellcat — Until It Wiped Out Every Zero in the Sky (79,000) | Japan Thought the Zero Still Ruled the Pacific — Until F6F Hellcats Swept 12 Fell in Just 8 Minutes (73,000) | German Pilots Mocked the F6F Hellcat — Until Its Guns Fired API Rounds That Exploded Their Bombers (59,000)</t>
  </si>
  <si>
    <t xml:space="preserve">Catolicismo Explicado</t>
  </si>
  <si>
    <t xml:space="preserve">christianity, religion, spirituality</t>
  </si>
  <si>
    <t xml:space="preserve">¿Cuál es la diferencia entre Cuerpo, Alma y Espíritu? Descubre la Visión Católica (187,000) | Que significan la casulla, la estola y el alba Las vestiduras del sacerdote explicadas (78,000) | La Iglesia Revela los 5 Herejes que Casi Dividieron el Cristianismo (52,000) | ¿Por que el sacerdote usa incienso? El significado que pocos catolicos conocen (41,000)</t>
  </si>
  <si>
    <t xml:space="preserve">True Crime Records YT</t>
  </si>
  <si>
    <t xml:space="preserve">TikTok User EXPOSED What HAPPENED Inside Jackson’s House to Nolan Wells | NEW UPDATE (179,000) | Chris Watts May 2026 Prison Guards Say He’s No Longer Human (92,000) | Scott Peterson In 2026: His Brutal Prison Reality Is Worse Than Being On Death Row (81,000) | TikTok Users Just EXPOSED The Letter That says "THE BOAT WASN'T SINKING" | R.I.P Nolan Wells (41,000)</t>
  </si>
  <si>
    <t xml:space="preserve">POUVOIR BRUT</t>
  </si>
  <si>
    <t xml:space="preserve">politics, geo politics, news</t>
  </si>
  <si>
    <t xml:space="preserve">Knafo and Maréchal shake the European Parliament: The video Brussels wants to CENSOR! (166,000) | IT’S OVER: They criticized Carcassonne while pocketing public funds (121,000) | Alain BAUER delivers a MASTERCLASS on crime (120,000) | Squatters out: Barthès still EXCEPTIONAL in Carcassonne, an IRON FIST (104,000)</t>
  </si>
  <si>
    <t xml:space="preserve">Prison Docs 24 7</t>
  </si>
  <si>
    <t xml:space="preserve">PRISON</t>
  </si>
  <si>
    <t xml:space="preserve">Hapishane içi belgesel</t>
  </si>
  <si>
    <t xml:space="preserve">Inside Indiana's Women's Prison - Secrets, Escapes, and Stories of Survival (601,000) | Inside America's Prison Nurseries - Mothers and Babies Behind Bars (395,000) | Inside Singapore's Maximum Security Prison - Daily Life, Food, Rules and Inmate Stories (215,000) | Inside America's Prison Nurseries: Can Incarcerated Moms Keep Their Babies? (181,000)</t>
  </si>
  <si>
    <t xml:space="preserve">History Mark: Exposed</t>
  </si>
  <si>
    <t xml:space="preserve">The Genain Quadruplets – 4 Identical Sisters With Schizophrenia and the Study That Failed Them (1,100,000) | The Galvin Family – The Untold Truth Behind Six Schizophrenic Brothers (843,000) | The Dionne Quintuplets – 5 Sisters the Government Took and Put on Display (183,000) | The Sedgwick Family – The Tragic Fate of Their 8 Children (99,000)</t>
  </si>
  <si>
    <t xml:space="preserve">Kaark</t>
  </si>
  <si>
    <t xml:space="preserve">GAMEPSY</t>
  </si>
  <si>
    <t xml:space="preserve">Oyun psikolojisi analizi</t>
  </si>
  <si>
    <t xml:space="preserve">psychology, video games, video games</t>
  </si>
  <si>
    <t xml:space="preserve">La psicología detrás de la misión más POLÉMICA de Call of Duty (332,000) | Why was old Minecraft SCARY? (194,000) | ¿Por qué el Novato NUNCA HABLA en Halo 3: ODST? (6,800) | Why do we miss physical video games so much? (2,300)</t>
  </si>
  <si>
    <t xml:space="preserve">Buried Signal</t>
  </si>
  <si>
    <t xml:space="preserve">HU</t>
  </si>
  <si>
    <t xml:space="preserve">The 8 Strangest Ancient Constructions Ever Discovered (1,500,000) | What’s Really at the Bottom of the Ocean? NASA Reveals It (441,000) | 9 Iranian Discoveries That Could Rewrite the Story of Civilization (390,000) | AI Reanalyzed Easter Island - The Results SHOCKED Everyone (233,000)</t>
  </si>
  <si>
    <t xml:space="preserve">Tras la Gloria</t>
  </si>
  <si>
    <t xml:space="preserve">Vozinha's House in Cape Verde — The humble life of the 40-year-old HERO who shocked the world (2,500,000) | Why does Edinson Cavani live like a poor man? The REAL reason left everyone in SHOCK (1,900,000) | Gabriel Batistuta's Ranch in Argentina — Inside a Legend's Humble Life (1,000,000) | Why Is N'Golo Kanté So Rich, Yet Lives Like A Poor Man? — This Is The Real Reason (348,000)</t>
  </si>
  <si>
    <t xml:space="preserve">Travel Uncovered</t>
  </si>
  <si>
    <t xml:space="preserve">Impossible Places | World’s Most Dangerous Railway Tracks You Won’t Believe Exist | 4K Travel (520,000) | WONDERS OF THE PLANET | The Most Jaw Dropping Places You Won’t Believe Exist | 4K Documentary (369,000) | Impossible Places | Extreme Lonely Homes on Earth You Won’t Believe Exist | 4K Travel (145,000) | Futuristic Wonders: The Most Insane Megaprojects on Earth | 4K Documentary (89,000)</t>
  </si>
  <si>
    <t xml:space="preserve">Legacy Archive</t>
  </si>
  <si>
    <t xml:space="preserve">Miley Cyrus JUST Revealed What Dolly Parton Said Before Her Death &amp; It’s Heartbreaking! (407,000) | Dolly Parton’s Funeral REVEALS 3 Mystery Guests—The Last One STUNS Everyone! (217,000) | Dolly Parton’s Fortune Went to Someone Nobody Expected—Her Family Left Reeling! (69,000) | Eddie Long’s Tragic Final Days After 2010 Sex Scandal Will Leave You Horrified! (43,000)</t>
  </si>
  <si>
    <t xml:space="preserve">Breaking Bodycams</t>
  </si>
  <si>
    <t xml:space="preserve">He'd Just Left Vegas — Deputies Found $3 MILLION of Meth in the Trunk (1,300,000) | Armed "Security Guard" Parked in a Handicap Spot — Busted for TRAFFICKING (264,000) | Pulled Over for Tint. The K9 Sniffed Out 30 Pounds of Drugs (225,000) | He Was ONE Exit Away — Deputies Found $1 MILLION of Meth in the Spare Tire (85,000)</t>
  </si>
  <si>
    <t xml:space="preserve">Tierra Roja</t>
  </si>
  <si>
    <t xml:space="preserve">La Nalgona, la Vendedora de Elotes de Matamoros — La Noche que 9 del Cártel del Golfo No Regresaron (261,000) | LA TUERTA, LA TAMALERA DE NUEVO LAREDO — 11 DEL CÁRTEL DEL NORESTE COMIERON SU ÚLTIMO PEDIDO. (222,000) | The Tortilla Maker from Ciudad Juárez Who Cooked the End of 11 Men from La Línea (108,000) | La Chata, Goat Farmer of Monterrey--The Night 10 Members of the Northeast Cartel Ate Their Last Goat (78,000)</t>
  </si>
  <si>
    <t xml:space="preserve">El Nono Superviviente</t>
  </si>
  <si>
    <t xml:space="preserve">AR</t>
  </si>
  <si>
    <t xml:space="preserve">12 No-Cook Foods You'll Need When War Hits (Eat Cold, Stay Alive) (948,000) | 25 Artículos que TODA Persona Debe Tener en Casa Antes del 2027 (370,000) | Buy Only These 20 Budget-Friendly Foods Every Month! (STOP Wasting Money On The Rest) (353,000) | The 8 Things That Will Be Stolen During a Blackout (Hide Them Now!) (284,000)</t>
  </si>
  <si>
    <t xml:space="preserve">Speed Academics</t>
  </si>
  <si>
    <t xml:space="preserve">SE</t>
  </si>
  <si>
    <t xml:space="preserve">She Is DESTROYING A 43-Year-Old World Record – Even Bolt Is STUNNED! – Keely Hodgkinson (584,000) | This 17-Year-Old Is DESTROYING World Records... (He Didn't Even Try!) (402,000) | He Is DESTROYING A 26-Year-Old World Record – Even Bolt Is STUNNED! – Cooper Lutkenhaus (288,000) | This 20-Year-Old Is DESTROYING World Records… (He Didn't Even Try!) - Samuel Ogazi (113,000)</t>
  </si>
  <si>
    <t xml:space="preserve">The Lost Species</t>
  </si>
  <si>
    <t xml:space="preserve">Scientists Compared the DNA of Every Cat Species on Earth — The Results Shocked Everyone (284,000) | Scientists Compared House Cat DNA to Every Wild Cat — Only One Matched (253,000) | Scientists Compared Every Wild Cat's DNA to the House Cat — Only One Matched (189,000) | Scientists Ranked Every Cat by Intelligence — The Results Shocked Everyone (56,000)</t>
  </si>
  <si>
    <t xml:space="preserve">Wildwood Restore</t>
  </si>
  <si>
    <t xml:space="preserve">Forgotten Cottage Transformed Into a Stunning Mediterranean Retreat | ASMR Restoration (257,000) | Abandoned Forest House Rebuilt Into a Beautiful Pastel Dream Home | ASMR Restoration (251,000) | Ruined Stone House Rebuilt Into a Charming Riverside Old-World Home | ASMR Renovation (108,000) | Forgotten Stone House That Became an Elegant Classic Country Home | ASMR House Restoration (51,000)</t>
  </si>
  <si>
    <t xml:space="preserve">Cardboard House</t>
  </si>
  <si>
    <t xml:space="preserve">MINIATURE</t>
  </si>
  <si>
    <t xml:space="preserve">Karton minyatür ev yapımı</t>
  </si>
  <si>
    <t xml:space="preserve">Make Simple Luxury Miniature House With Cute Pink Decor Room For a Family ❤️ | DIY Miniature House (4,000,000) | 🏡💗Make an Aesthetic Modern Pink Mini House with Chic Decor &amp; Spa Bathroom|DIY Miniature House🛁🌸 (1,900,000) | 🐰🏡Make Adorable Modern Pink Bunny House With Bunk Bed From Cardboard (EASY)|DIY Miniature House💗 (749,000) | 🐰🏡Make a Cute Two-Story Little House with Blue &amp; Pink Cardboard✨| DIY Little House 💙💖🌈 (641,000)</t>
  </si>
  <si>
    <t xml:space="preserve">George Graves</t>
  </si>
  <si>
    <t xml:space="preserve">Amagansett Press Gets "Tyrant Cop" FIRED After Her MELTDOWN? (Lawyer Explains) (315,000) | Bay Area Transparency ASSAULTED &amp; Files A MASSIVE Lawsuit (Lawyer Explains) (280,000) | Cop BEATS Woman on Her Doorbell Cam — Then He Gets FIRED &amp; CHARGED (Lawyer Explains) (261,000) | Amagansett Press ARRESTED - Another MASSIVE Lawsuit Filed (Lawyer Explains) (241,000)</t>
  </si>
  <si>
    <t xml:space="preserve">Hinter dem Glanz</t>
  </si>
  <si>
    <t xml:space="preserve">celebrity, movie star news &amp; gossip, life stories</t>
  </si>
  <si>
    <t xml:space="preserve">Bonnie Tyler has died: The bitter tragedies behind the life of the pop icon (99,000) | Ludwig Hofmaier is nearly 85 – what has become of his life is breaking fans' hearts (81,000) | Lilo Pulver ist jetzt 96 Jahre alt, wie sie heute lebt, ist wirklich traurig (75,000) | After her tragic death: Bonnie Tyler's husband reveals the bitter truth (67,000)</t>
  </si>
  <si>
    <t xml:space="preserve">Past the Headlines</t>
  </si>
  <si>
    <t xml:space="preserve">World Cup 2026 Shock: The One Thing FIFA Couldn't Control (126,000) | How Europe's Elite Were Humiliated By America's World (111,000) | Europeans SPEECHLESS When Experiencing The REAL American Anthem (70,000) | The 2.5 Minutes That Destroyed My European Arrogance. (65,000)</t>
  </si>
  <si>
    <t xml:space="preserve">Retro Signal</t>
  </si>
  <si>
    <t xml:space="preserve">The Monkees: 60 Years Later — Only 1 Member Is Still Alive (128,000) | Dallas: 48 Years Later (120,000) | Charlie’s Angels: 50 Years Later (40,000) | Falcon Crest: 45 Years Later (11,000)</t>
  </si>
  <si>
    <t xml:space="preserve">Money Unloaded</t>
  </si>
  <si>
    <t xml:space="preserve">When People Lose Absolutely EVERYTHING From Gambling (206,000) | When People Get EVICTED From Section 8 Housing (178,000) | When People With TERRIBLE Credit Try To Buy Luxury Cars (168,000) | When People Lose EVERYTHING From Gambling (105,000)</t>
  </si>
  <si>
    <t xml:space="preserve">True Crime Consequence</t>
  </si>
  <si>
    <t xml:space="preserve">22YO Tennessee Woman Was Lured to a Party, Kidnapped &amp; Executed Over a Petty Argument | Mya Fuller (1,100,000) | 13YO South Carolina Girl Was Beaten, Stabbed &amp; Set ablaze by Two Teen Girls I Ka'Niyah Baker (702,000) | Jealous Teen Shoot His Girlfriend and Her 9 Years Old Brother — Hours After He Warned Her  (252,000) | She Left Her Abusive Ex… Days Later, Four People Were Dead | Takeyra Collins (173,000)</t>
  </si>
  <si>
    <t xml:space="preserve">Brandon Alex</t>
  </si>
  <si>
    <t xml:space="preserve">When F1 Drivers Surprise Their Biggest Fans! (1,100,000) | When Footballers Surprise Their Biggest Fans (1,000,000) | Cristiano Ronaldo Surprising Fans When They Least Expect It (442,000) | F1 Drivers Driving Celebrities Crazy! (386,000)</t>
  </si>
  <si>
    <t xml:space="preserve">The Outer Layer</t>
  </si>
  <si>
    <t xml:space="preserve">The First Two Weeks Of June Will Be Unlike Anything Most Of America Expects (229,000) | America Is Running Out of Water Faster Than Anyone Predicted — And It's Far From Over (89,000) | Nine Earthquakes In Four Hours Just Struck The Most Dangerous Coast On Earth (81,000) | Today's Earthquake Off Oregon Is More Alarming Than It Looks — Here's Why (80,000)</t>
  </si>
  <si>
    <t xml:space="preserve">Null Source</t>
  </si>
  <si>
    <t xml:space="preserve">The Sumerian Tablet That Reveals Why 90,000 Hid Underground — And What Waited Above (983,000) | The Sumerian Tablet Listing 5 Species That Existed Before Humans — And How Each One Ended (748,000) | The Sumerian Tablet That Says Cats Were Sent to Watch Us — And Describes What They Report Back (371,000) | The Sumerian Tablet That Describes the Final Century of Humanity — And Names the Event That Triggers (107,000)</t>
  </si>
  <si>
    <t xml:space="preserve">Raiders news today</t>
  </si>
  <si>
    <t xml:space="preserve">american football, sports, news</t>
  </si>
  <si>
    <t xml:space="preserve">CHIEFS JUST GOT BAD NEWS: Raiders’ Secret Weapon RETURNS for the 3-0 Showdown! (44,000) | SAINTS JUST GOT EXPOSED: Raiders’ Sack Attack Smells BLOOD in New Orleans (23,000) | Nakobe Dean Has Turned the Raiders Defense Into a CHIEFS NIGHTMARE (12,000) | Raiders Fans Won’t Like This… ONE Free-Agent Signing Is Already a DISASTER!? (12,000)</t>
  </si>
  <si>
    <t xml:space="preserve">Animated Math</t>
  </si>
  <si>
    <t xml:space="preserve">Nobody Explained the Schrödinger Equation Like THIS! (337,000) | From Heat to Hilbert Space: The Complete Story of Fourier (74,000) | The Math Formula Physics Cannot Live Without (69,000) | The Most Beautiful Proof in Mathematics! (62,000)</t>
  </si>
  <si>
    <t xml:space="preserve">SpeedWave Stories</t>
  </si>
  <si>
    <t xml:space="preserve">drama, society, life stories</t>
  </si>
  <si>
    <t xml:space="preserve">The Girl Nobody Wanted . #AfricanDrama #ViralDrama #AfricanMovies #SuspenseDrama (1,200,000) | The Boy Who Said No #AfricanDrama #NollywoodStories #ViralDrama #AfricanMovies #SuspenseDrama (132,000) | The Girl Who Asked For Leftovers  #AfricanDrama #NollywoodStories #ViralDrama #AfricanMovies (66,000) | Wicked Daughter-in-Law vs The Mansion's Hidden Owner#AfricanDrama#ViralDrama#SuspenseDrama (17,000)</t>
  </si>
  <si>
    <t xml:space="preserve">Ernex &amp; Alfred TV</t>
  </si>
  <si>
    <t xml:space="preserve">IDRISS ABERKANE WARNS THE FRENCH ABOUT A DANGER. (81,000) | "BRACE FOR IMPACT": DELAMARCHE'S STUNNING WARNING ABOUT FRANCE (73,000) | WHAT ALAIN SORAL IS CLAIMING WILL GET ALL OF FRANCE TALKING (59,000) | ROUGEYRON WARNS THE FRENCH ABOUT A DANGER (59,000)</t>
  </si>
  <si>
    <t xml:space="preserve">Kod</t>
  </si>
  <si>
    <t xml:space="preserve">Yeni kanal sayısı</t>
  </si>
  <si>
    <t xml:space="preserve">Toplam aylık gelir ($)</t>
  </si>
  <si>
    <t xml:space="preserve">Ort. gelir/kanal ($)</t>
  </si>
  <si>
    <t xml:space="preserve">En yüksek kanal geliri ($)</t>
  </si>
  <si>
    <t xml:space="preserve">Doygunluk (yeni kanal sayısına göre)</t>
  </si>
  <si>
    <t xml:space="preserve">Dış kontrol (YouTube arama)</t>
  </si>
  <si>
    <t xml:space="preserve">Kanallar (No)</t>
  </si>
  <si>
    <t xml:space="preserve">—</t>
  </si>
  <si>
    <t xml:space="preserve">#20, #27, #44, #55, #70, #74, #93, #108, #109, #112, #126, #149, #211, #227, #269, #294, #386, #398, #507, #516, #526, #528, #560</t>
  </si>
  <si>
    <t xml:space="preserve">#1, #16, #19, #98, #195, #201, #230, #231, #233, #293, #307, #378, #423, #442, #471, #513</t>
  </si>
  <si>
    <t xml:space="preserve">#13, #21, #23, #53, #80, #116, #171, #183, #225, #309, #360, #435, #455, #493, #529, #543, #554</t>
  </si>
  <si>
    <t xml:space="preserve">#28, #42, #47, #61, #68, #107, #128, #144, #151, #161, #190, #241, #264, #308, #370, #446, #476</t>
  </si>
  <si>
    <t xml:space="preserve">#7, #24, #26, #188, #194, #251, #281, #369, #393, #401, #402, #486, #497, #503, #523, #536, #538</t>
  </si>
  <si>
    <t xml:space="preserve">#2, #3</t>
  </si>
  <si>
    <t xml:space="preserve">#8, #50, #122, #145, #193, #213, #246, #298, #374, #469, #556</t>
  </si>
  <si>
    <t xml:space="preserve">#6, #115, #170, #197, #316, #406, #443, #468, #484, #487, #496, #545, #555, #558</t>
  </si>
  <si>
    <t xml:space="preserve">#15, #40, #102, #143, #305, #312, #325, #362, #382, #394, #436, #518</t>
  </si>
  <si>
    <t xml:space="preserve">#36, #41, #77, #153, #174, #177, #206, #279, #355, #391, #433, #522</t>
  </si>
  <si>
    <t xml:space="preserve">#12, #104, #166, #205, #207, #217, #259, #329, #365, #428, #506</t>
  </si>
  <si>
    <t xml:space="preserve">Golf dikeyi: tek lider (Persimmon) → DİKEYDE AÇIK</t>
  </si>
  <si>
    <t xml:space="preserve">#37, #65, #79, #95, #105, #287, #340, #343, #403, #407, #434, #464</t>
  </si>
  <si>
    <t xml:space="preserve">#22, #45, #90, #118, #135, #237, #372, #425, #479, #508, #540</t>
  </si>
  <si>
    <t xml:space="preserve">#9, #92, #127, #159, #164, #267, #416, #421</t>
  </si>
  <si>
    <t xml:space="preserve">YouTube: onlarca kanal 12-2K → DOLU</t>
  </si>
  <si>
    <t xml:space="preserve">#10, #25, #114, #238, #280</t>
  </si>
  <si>
    <t xml:space="preserve">#67, #101, #103, #113, #169, #198, #210, #324, #367, #390, #438, #475, #489, #514, #521</t>
  </si>
  <si>
    <t xml:space="preserve">#57, #106, #121, #214, #276, #290, #318, #341, #395, #419, #445, #458, #470, #519</t>
  </si>
  <si>
    <t xml:space="preserve">#31, #54, #202, #283, #339, #363, #380, #461, #494, #515, #527, #534, #551, #561</t>
  </si>
  <si>
    <t xml:space="preserve">#51, #69, #97, #150, #266, #273, #302, #345, #399, #504</t>
  </si>
  <si>
    <t xml:space="preserve">#49, #99, #129, #136, #178, #385, #404, #405, #444, #451, #481, #542</t>
  </si>
  <si>
    <t xml:space="preserve">#32, #71, #72, #313, #322, #326, #408, #465, #517</t>
  </si>
  <si>
    <t xml:space="preserve">'Economics of owning' YouTube: 15+ kanal → DOLU</t>
  </si>
  <si>
    <t xml:space="preserve">#34, #86, #133, #247, #258, #289, #346, #366, #477, #553</t>
  </si>
  <si>
    <t xml:space="preserve">YouTube: 15+ kopya 0-500 → DOLU</t>
  </si>
  <si>
    <t xml:space="preserve">#5, #196, #549</t>
  </si>
  <si>
    <t xml:space="preserve">#59, #60, #94, #134, #141, #288, #354</t>
  </si>
  <si>
    <t xml:space="preserve">Outlier: Kore Savaşı kanalı 286K → WW2 dışı AÇIK</t>
  </si>
  <si>
    <t xml:space="preserve">#132, #156, #160, #175, #250, #256, #261, #268, #376, #397, #410, #495, #512, #531</t>
  </si>
  <si>
    <t xml:space="preserve">#4</t>
  </si>
  <si>
    <t xml:space="preserve">#78, #125, #157, #180, #235, #244, #277, #344, #429, #456</t>
  </si>
  <si>
    <t xml:space="preserve">#33, #75, #209, #215, #278, #314, #546</t>
  </si>
  <si>
    <t xml:space="preserve">#82, #186, #221, #260, #310, #356, #371, #427, #440, #488, #524</t>
  </si>
  <si>
    <t xml:space="preserve">#87, #117, #142, #292, #319, #411, #459, #482, #559</t>
  </si>
  <si>
    <t xml:space="preserve">#11, #286</t>
  </si>
  <si>
    <t xml:space="preserve">#30, #85, #253, #422, #541</t>
  </si>
  <si>
    <t xml:space="preserve">#43, #73, #155, #335</t>
  </si>
  <si>
    <t xml:space="preserve">#48, #66, #282, #414, #491, #509</t>
  </si>
  <si>
    <t xml:space="preserve">#96, #184, #234, #239, #243, #368, #492, #500</t>
  </si>
  <si>
    <t xml:space="preserve">#14, #323</t>
  </si>
  <si>
    <t xml:space="preserve">#120, #158, #219, #285, #358, #373, #439, #473</t>
  </si>
  <si>
    <t xml:space="preserve">#84, #89, #111, #245</t>
  </si>
  <si>
    <t xml:space="preserve">#58, #185, #299, #304, #352, #454</t>
  </si>
  <si>
    <t xml:space="preserve">#130, #154, #181, #284, #311, #466, #557</t>
  </si>
  <si>
    <t xml:space="preserve">#220, #226, #300, #306, #359, #413, #431, #485, #490, #532</t>
  </si>
  <si>
    <t xml:space="preserve">YouTube: kopyalar 4-36K alıyor → KISMEN AÇIK</t>
  </si>
  <si>
    <t xml:space="preserve">#17</t>
  </si>
  <si>
    <t xml:space="preserve">#35, #375, #457, #462, #472, #501</t>
  </si>
  <si>
    <t xml:space="preserve">YouTube: tek ciddi kanal (Yucky Stew) → AÇIK</t>
  </si>
  <si>
    <t xml:space="preserve">#18</t>
  </si>
  <si>
    <t xml:space="preserve">#64, #148, #204, #353</t>
  </si>
  <si>
    <t xml:space="preserve">#139, #262, #275, #317, #357, #478, #539, #550</t>
  </si>
  <si>
    <t xml:space="preserve">#83, #274, #320, #334, #510, #533</t>
  </si>
  <si>
    <t xml:space="preserve">YouTube: ~6 kanal hepsi izlenme alıyor → KISMEN DOLU</t>
  </si>
  <si>
    <t xml:space="preserve">#137, #163, #257, #327, #418</t>
  </si>
  <si>
    <t xml:space="preserve">#81, #146, #189</t>
  </si>
  <si>
    <t xml:space="preserve">#29, #351</t>
  </si>
  <si>
    <t xml:space="preserve">#191, #228, #229, #381, #389, #415</t>
  </si>
  <si>
    <t xml:space="preserve">#162, #270, #315, #336, #417, #447, #525</t>
  </si>
  <si>
    <t xml:space="preserve">#62, #100</t>
  </si>
  <si>
    <t xml:space="preserve">#138, #147, #173, #520</t>
  </si>
  <si>
    <t xml:space="preserve">#56, #218, #384</t>
  </si>
  <si>
    <t xml:space="preserve">#88, #232, #249</t>
  </si>
  <si>
    <t xml:space="preserve">#187, #192, #216, #552</t>
  </si>
  <si>
    <t xml:space="preserve">#240, #255, #377, #412, #483, #502</t>
  </si>
  <si>
    <t xml:space="preserve">#123, #222, #296</t>
  </si>
  <si>
    <t xml:space="preserve">YouTube: 10+ kopya, kopyalar 0-2K → KOPYA DOLU</t>
  </si>
  <si>
    <t xml:space="preserve">#38</t>
  </si>
  <si>
    <t xml:space="preserve">#76, #208</t>
  </si>
  <si>
    <t xml:space="preserve">#39</t>
  </si>
  <si>
    <t xml:space="preserve">#172, #272, #347, #400</t>
  </si>
  <si>
    <t xml:space="preserve">#199, #348, #364, #379, #530</t>
  </si>
  <si>
    <t xml:space="preserve">YouTube: talep 10M+, faceless arz yok → AÇIK</t>
  </si>
  <si>
    <t xml:space="preserve">#46</t>
  </si>
  <si>
    <t xml:space="preserve">#176, #333, #350, #392</t>
  </si>
  <si>
    <t xml:space="preserve">#52</t>
  </si>
  <si>
    <t xml:space="preserve">#165, #223, #337</t>
  </si>
  <si>
    <t xml:space="preserve">#63, #480</t>
  </si>
  <si>
    <t xml:space="preserve">#203, #212, #361</t>
  </si>
  <si>
    <t xml:space="preserve">#224, #301, #463, #499, #505</t>
  </si>
  <si>
    <t xml:space="preserve">#152, #167</t>
  </si>
  <si>
    <t xml:space="preserve">#131, #330, #437</t>
  </si>
  <si>
    <t xml:space="preserve">#140, #200</t>
  </si>
  <si>
    <t xml:space="preserve">#91, #342</t>
  </si>
  <si>
    <t xml:space="preserve">#119, #426, #544</t>
  </si>
  <si>
    <t xml:space="preserve">#321, #331, #338, #460</t>
  </si>
  <si>
    <t xml:space="preserve">#168, #409, #448</t>
  </si>
  <si>
    <t xml:space="preserve">YouTube: 15+ kanal ~100 izlenme → DOLU</t>
  </si>
  <si>
    <t xml:space="preserve">#263, #332, #388</t>
  </si>
  <si>
    <t xml:space="preserve">#182, #297</t>
  </si>
  <si>
    <t xml:space="preserve">Outlier: Curtain Cut (dizi-içi trivia) → AÇIK açı</t>
  </si>
  <si>
    <t xml:space="preserve">#179, #303</t>
  </si>
  <si>
    <t xml:space="preserve">#236, #248</t>
  </si>
  <si>
    <t xml:space="preserve">#252, #349, #498</t>
  </si>
  <si>
    <t xml:space="preserve">YouTube: ~15 kopya &lt;3K → KOPYA DOLU</t>
  </si>
  <si>
    <t xml:space="preserve">#110</t>
  </si>
  <si>
    <t xml:space="preserve">#420, #441, #450, #474</t>
  </si>
  <si>
    <t xml:space="preserve">#124</t>
  </si>
  <si>
    <t xml:space="preserve">YouTube: ~8 kanal 20-100K → KISMEN AÇIK</t>
  </si>
  <si>
    <t xml:space="preserve">#242, #387</t>
  </si>
  <si>
    <t xml:space="preserve">#424, #432, #449</t>
  </si>
  <si>
    <t xml:space="preserve">#383, #396</t>
  </si>
  <si>
    <t xml:space="preserve">#291, #547</t>
  </si>
  <si>
    <t xml:space="preserve">#328, #511</t>
  </si>
  <si>
    <t xml:space="preserve">#254</t>
  </si>
  <si>
    <t xml:space="preserve">#265</t>
  </si>
  <si>
    <t xml:space="preserve">#271</t>
  </si>
  <si>
    <t xml:space="preserve">YouTube: 4-5 küçük kanal → KISMEN AÇIK</t>
  </si>
  <si>
    <t xml:space="preserve">#452, #453</t>
  </si>
  <si>
    <t xml:space="preserve">#295</t>
  </si>
  <si>
    <t xml:space="preserve">#430</t>
  </si>
  <si>
    <t xml:space="preserve">#467</t>
  </si>
  <si>
    <t xml:space="preserve">#535</t>
  </si>
  <si>
    <t xml:space="preserve">#537</t>
  </si>
  <si>
    <t xml:space="preserve">#548</t>
  </si>
  <si>
    <t xml:space="preserve">TOPLAM</t>
  </si>
  <si>
    <t xml:space="preserve">Doygunluk eşiği: aynı kümede son 5 ayda açılmış ve ≥$1K/ay kazanan kanal sayısı (yalnız bu veri setinde). Dış kontrol sütunu canlı YouTube aramasından elle yazıldı.</t>
  </si>
  <si>
    <t xml:space="preserve">Sıra</t>
  </si>
  <si>
    <t xml:space="preserve">Konsept / fırsat</t>
  </si>
  <si>
    <t xml:space="preserve">Tip</t>
  </si>
  <si>
    <t xml:space="preserve">Kanıt (kanal no = Kanallar sayfası)</t>
  </si>
  <si>
    <t xml:space="preserve">Rakip kontrolü</t>
  </si>
  <si>
    <t xml:space="preserve">Önerilen açı / içerik planı</t>
  </si>
  <si>
    <t xml:space="preserve">Risk</t>
  </si>
  <si>
    <t xml:space="preserve">Puan (1-10)</t>
  </si>
  <si>
    <t xml:space="preserve">Görünmeyen Amerika – faceless yoksulluk/motel/Appalachia belgeselleri</t>
  </si>
  <si>
    <t xml:space="preserve">Kanıtlı boşluk (1 kanal)</t>
  </si>
  <si>
    <t xml:space="preserve">Stateside Stories (#46) $13.7K/ay, 20K abone, 30 video; 'America's Motel Families' 1.6M</t>
  </si>
  <si>
    <t xml:space="preserve">Talep devasa (Drew Binsky, RocaNews 10M+), faceless rakip neredeyse yok</t>
  </si>
  <si>
    <t xml:space="preserve">Arşiv/stok + harita + veri anlatımı; 'Inside America's ___' serisi: motel aileleri, karavan parkları, şirket kasabaları, Native rezervasyonlar, gıda çölleri. 40-55 dk.</t>
  </si>
  <si>
    <t xml:space="preserve">Stok görüntü bulmak zor; etik/hassas dil</t>
  </si>
  <si>
    <t xml:space="preserve">Hobi-dikey marka yükseliş &amp; çöküş (golf dışında)</t>
  </si>
  <si>
    <t xml:space="preserve">Yeni konsept (kanıtlı şablon)</t>
  </si>
  <si>
    <t xml:space="preserve">Persimmon Archive (#287) golf $3.5K; Lost American Footwear sneaker outlier 211K (0 abone); Mr. Watchman (#343) saat $2.8K; House of Ruin (#407) moda $2.3K; Imperios del Sonido (#105, ES) elektronik $8.2K</t>
  </si>
  <si>
    <t xml:space="preserve">Golf aramasında Persimmon tek lider, kopyalar 400-9K. Diğer dikeylerde bulunamadı</t>
  </si>
  <si>
    <t xml:space="preserve">Her dikey ayrı kanal: Olta/balıkçılık (Zebco, Abu Garcia), gitar (Gibson, Peavey), fotoğraf makinesi (Minolta, Polaroid), av tüfeği (Remington, Winchester), motosiklet (Indian, Excelsior), bisiklet (Schwinn), elektrikli alet (Craftsman), karavan (Winnebago). 55+ erkek hobi kitlesi = yüksek RPM.</t>
  </si>
  <si>
    <t xml:space="preserve">The Fall Files ile örtüşme riski – dikey hobi kitlesine odaklanarak ayrıştır</t>
  </si>
  <si>
    <t xml:space="preserve">Eyalet-özel tarih kanalı ('Ohio Uncovered' şablonu)</t>
  </si>
  <si>
    <t xml:space="preserve">Ohio Uncovered (#89) $9.1K/ay, sadece 17 video, 7K abone ('10 Places in Ohio the Mob Used to Control' 426K)</t>
  </si>
  <si>
    <t xml:space="preserve">Aranmadı; veri setinde başka eyalet kanalı yok</t>
  </si>
  <si>
    <t xml:space="preserve">Pennsylvania/Michigan/Texas/Kentucky Uncovered: mafya yerleri, her ilçenin en ünlü kişisi, eski para semtleri, kaybolan kasabalar. Yerel gurur = paylaşım.</t>
  </si>
  <si>
    <t xml:space="preserve">Her eyalet kitlesi sınırlı; çok kanal ağı kurulabilir</t>
  </si>
  <si>
    <t xml:space="preserve">Kore / Vietnam / unutulan savaşlar belgeseli</t>
  </si>
  <si>
    <t xml:space="preserve">Yeni konsept</t>
  </si>
  <si>
    <t xml:space="preserve">38th Parallel Files (outlier, 0K abone, 'Pork Chop Hill 1953' 286K); WW2 kümesinde 14 yeni kanal = WW2 doymuş</t>
  </si>
  <si>
    <t xml:space="preserve">WW2 kalabalık; Kore Savaşı için tek outlier kanal görüldü</t>
  </si>
  <si>
    <t xml:space="preserve">Kore Savaşı, Vietnam, Falkland, Boer, Rus-Japon savaşı. WW2'deki 'Japonlar güldü – ta ki...' şablonunu Kore'ye taşı.</t>
  </si>
  <si>
    <t xml:space="preserve">Arşiv görüntü kısıtlı</t>
  </si>
  <si>
    <t xml:space="preserve">E-bisiklet POV ünlü mahalleleri (başka şehirler)</t>
  </si>
  <si>
    <t xml:space="preserve">Yucky Stew (#18) $25.3K/ay, 34K abone, 58 video</t>
  </si>
  <si>
    <t xml:space="preserve">AÇIK – YouTube aramasında tek ciddi kanal</t>
  </si>
  <si>
    <t xml:space="preserve">Miami (Star Island), Nashville country yıldız evleri, Atlanta, Hamptons, Londra Kensington, Dubai. 4K POV çekim.</t>
  </si>
  <si>
    <t xml:space="preserve">Faceless ama yerinde çekim gerektirir (AI ile yapılamaz)</t>
  </si>
  <si>
    <t xml:space="preserve">Hemşirelik / sağlık sınavı hazırlık (NCLEX, EMT, CNA)</t>
  </si>
  <si>
    <t xml:space="preserve">Qumal Fafma (#52) $13.1K/ay, sadece 6 video, 2.7M izlenmeli video</t>
  </si>
  <si>
    <t xml:space="preserve">Aranmadı; veri setinde tek</t>
  </si>
  <si>
    <t xml:space="preserve">Animasyonlu ilaç dozları, iğne boyutları, laboratuvar değerleri ezber teknikleri. Eğitim = çok yüksek RPM + evergreen.</t>
  </si>
  <si>
    <t xml:space="preserve">Doğruluk sorumluluğu (uzman kontrolü şart)</t>
  </si>
  <si>
    <t xml:space="preserve">Klasik TV derin bilgi (55+ kitle)</t>
  </si>
  <si>
    <t xml:space="preserve">Curtain Cut outlier ('The REAL Reason the Professor Never Fixed the Boat' 437K, 0 abone; '70'lerin unutulan süper kahraman dizileri' 234K); Rewatch TV (#43) $14K; Rewind Facts outlier</t>
  </si>
  <si>
    <t xml:space="preserve">Klasik TV 'kötü yıldız' listeleri dolu (#179,#303) ama dizi-içi lore/trivia boş</t>
  </si>
  <si>
    <t xml:space="preserve">Gilligan's Island, Bonanza, M*A*S*H, Andy Griffith, Twilight Zone: 'gerçek sebep', 'çekim arkası', 'silinen sahne'. TV izleyen yaşlı ABD kitlesi.</t>
  </si>
  <si>
    <t xml:space="preserve">Klip telif riski – görsel AI/still ile</t>
  </si>
  <si>
    <t xml:space="preserve">Kapalı topluluklar (Amish'in ötesi)</t>
  </si>
  <si>
    <t xml:space="preserve">Komşu boşluk</t>
  </si>
  <si>
    <t xml:space="preserve">Elias Stoltzfus (#38) $15K/ay, 7K abone; Amish videosu 3.7M</t>
  </si>
  <si>
    <t xml:space="preserve">Amish konusu kopyalarla doldu (10+ kanal ama 0-2K izlenme). Mennonit/Hutterit/Hasidik/FLDS için kanal görülmedi</t>
  </si>
  <si>
    <t xml:space="preserve">Hutterites, Mennonitler, Old Order, Hasidik Yahudiler, Doukhobor, Shakers tarihi. 'Neden göç ediyorlar / nasıl para kazanıyorlar'.</t>
  </si>
  <si>
    <t xml:space="preserve">Hassas dini konular; saygılı ton</t>
  </si>
  <si>
    <t xml:space="preserve">Savaş alanı mezar arkeolojisi (İç Savaş dışı)</t>
  </si>
  <si>
    <t xml:space="preserve">Kısmen açık</t>
  </si>
  <si>
    <t xml:space="preserve">The Silent Ruins (#17) $26K/ay, 9K abone</t>
  </si>
  <si>
    <t xml:space="preserve">Antietam/Gettysburg kopyalandı (kopyalar 4-36K alıyor)</t>
  </si>
  <si>
    <t xml:space="preserve">WW1 Batı Cephesi, Pasifik adaları, Vahşi Batı katliam alanları, gemi enkazı mezarları. 'Just Got Even Stranger' kalıbı.</t>
  </si>
  <si>
    <t xml:space="preserve">Kopya kanallar hızla geliyor</t>
  </si>
  <si>
    <t xml:space="preserve">İspanyolca/Almanca/Fransızca port (dil arbitrajı)</t>
  </si>
  <si>
    <t xml:space="preserve">ES/DE/FR kanalları veri setinin %18'i; ES'de 'marka alma' (#67 $10.8K, #101 $8.5K), DE'de soyadı (#336) ve tarih (#7 $42K!)</t>
  </si>
  <si>
    <t xml:space="preserve">Rakip yoğunluğu EN'e göre çok düşük</t>
  </si>
  <si>
    <t xml:space="preserve">Kanıtlı EN formatlarını DE/FR'ye taşı: Görünmeyen Almanya, Alman marka çöküşleri (#434 var), Fransız 'Lost' nostalji (#464 var). Deutsche Chroniken (#7) $42K/ay = DE tarih çok kârlı.</t>
  </si>
  <si>
    <t xml:space="preserve">Ana dil seviyesinde senaryo gerekir</t>
  </si>
  <si>
    <t xml:space="preserve">Ölüme yakın deneyim (NDE) anlatıları</t>
  </si>
  <si>
    <t xml:space="preserve">Kanıtlı (az kanal) – dış kontrol yapılmadı</t>
  </si>
  <si>
    <t xml:space="preserve">Mystic Life Stories (#11) $32K/ay (9K abone, 1 video 1.7M), When You Die (#286) $3.6K</t>
  </si>
  <si>
    <t xml:space="preserve">Aranmadı (kota) – ilk kontrol edilmesi gereken</t>
  </si>
  <si>
    <t xml:space="preserve">Yaşlı anlatıcı + 'X dakika öldüm ve gördüm' hikayeleri; Hristiyan kitle + uyku/uzun format. İspanyolca versiyonu da düşünülebilir.</t>
  </si>
  <si>
    <t xml:space="preserve">Gelir tek bir viral videoya dayanıyor olabilir</t>
  </si>
  <si>
    <t xml:space="preserve">Cozy kamu malı dedektif uyku gizemleri (Holmes dışı)</t>
  </si>
  <si>
    <t xml:space="preserve">Holmes Legacy (#452) $1.9K, 221B Archive (#453) $1.9K – ikisi de 1-3K abone</t>
  </si>
  <si>
    <t xml:space="preserve">Holmes için 4-5 küçük kanal; Father Brown/Dupin/Thorndyke için yok</t>
  </si>
  <si>
    <t xml:space="preserve">Father Brown, Auguste Dupin, Dr. Thorndyke, Sexton Blake, Craig Kennedy – 2 saatlik uyku gizemleri.</t>
  </si>
  <si>
    <t xml:space="preserve">Gelir düşük-orta; uzun video üretim maliyeti</t>
  </si>
  <si>
    <t xml:space="preserve">'Artık kimse X'i ziyaret etmek istemiyor' (boş bölgeler)</t>
  </si>
  <si>
    <t xml:space="preserve">After the Boom (#242) AU $4.1K, Forgotten British Cities (#387) UK $2.5K</t>
  </si>
  <si>
    <t xml:space="preserve">~8 kanal, bölge bölge paylaşılmış; çoğu 20-100K izlenme</t>
  </si>
  <si>
    <t xml:space="preserve">Kanada, Karayipler, Akdeniz tatil kasabaları, Japonya onsen kasabaları, ABD kayak kasabaları.</t>
  </si>
  <si>
    <t xml:space="preserve">Hızla doluyor – 1-2 ay içinde girilmeli</t>
  </si>
  <si>
    <t xml:space="preserve">Bölgesel vahşi yaşam gizemi</t>
  </si>
  <si>
    <t xml:space="preserve">The Quiet Wild (#48) $13.4K, Dark Wild Archives (#282) $3.6K, Wild States (#491) $1.5K, Unerklärt (#509)</t>
  </si>
  <si>
    <t xml:space="preserve">Aranmadı</t>
  </si>
  <si>
    <t xml:space="preserve">'Biologlar X eyaletinde neyin avlandığını buldu' – Kanada, İskoçya, Avustralya'ya taşı.</t>
  </si>
  <si>
    <t xml:space="preserve">4-6 kanal daha gelmiş olabilir</t>
  </si>
  <si>
    <t xml:space="preserve">60+ yaş kadın (ve erkek) stil/yaşam</t>
  </si>
  <si>
    <t xml:space="preserve">Stylish60plus (#124) $7.4K/ay, 43K abone</t>
  </si>
  <si>
    <t xml:space="preserve">60+ erkek stili, 60+ ev düzeni, 60+ seyahat gardırobu. AI anlatım + stok.</t>
  </si>
  <si>
    <t xml:space="preserve">Yüzsüz moda zor ama mevcut kanal kanıtlıyor</t>
  </si>
  <si>
    <t xml:space="preserve">Bölgesel restoran/market zincirleri çöküşü</t>
  </si>
  <si>
    <t xml:space="preserve">Kanıtlı (az kanal)</t>
  </si>
  <si>
    <t xml:space="preserve">Old American Empires (#95) $8.7K ('Why Nobody Wants to Eat at Golden Corral' 411K); Lost American Stores (#157)</t>
  </si>
  <si>
    <t xml:space="preserve">Bölgesel zincirler: Howard Johnson's, Sambo's, Ponderosa, Bob Evans, Montgomery Ward.</t>
  </si>
  <si>
    <t xml:space="preserve">The Fall Files ile örtüşebilir</t>
  </si>
  <si>
    <t xml:space="preserve">Terk edilmiş lunapark/eğlence yerleri</t>
  </si>
  <si>
    <t xml:space="preserve">What Used to Be (#111) $7.9K, 4K abone</t>
  </si>
  <si>
    <t xml:space="preserve">Terk edilmiş lunaparklar, su parkları, AVM'ler, dünya fuarları.</t>
  </si>
  <si>
    <t xml:space="preserve">Urbex kanalları kalabalık olabilir</t>
  </si>
  <si>
    <t xml:space="preserve">İngiliz emekliler / Avrupa kitlesi</t>
  </si>
  <si>
    <t xml:space="preserve">Mr Isles outlier ('5 Countries Practically Begging Brits to Retire There' 209K, 2K abone); ABD emeklilik kasabaları 4 kanal (#321,#338,#331,#460)</t>
  </si>
  <si>
    <t xml:space="preserve">ABD tarafı doluyor, İngiltere tarafı boş görünüyor</t>
  </si>
  <si>
    <t xml:space="preserve">İngiliz emeklilerine: yurtdışı emeklilik, devlet emekliliği değişiklikleri, ucuz İngiliz kasabaları.</t>
  </si>
  <si>
    <t xml:space="preserve">UK RPM ABD'den düşük</t>
  </si>
  <si>
    <t xml:space="preserve">Hak rehberi (polis durdurduğunda)</t>
  </si>
  <si>
    <t xml:space="preserve">WALTER (#437) 64K abone, Traffic Rights USA (#131) $6.9K, Marcus Cole (#330) $2.9K</t>
  </si>
  <si>
    <t xml:space="preserve">Ev sahibi-kiracı hakları, işyeri hakları, IRS'e karşı haklar – hukuk = yüksek RPM.</t>
  </si>
  <si>
    <t xml:space="preserve">Hukuki doğruluk</t>
  </si>
  <si>
    <t xml:space="preserve">Mob/şehir semt tarihi (NYC dışı)</t>
  </si>
  <si>
    <t xml:space="preserve">Century Block (#245) NYC semtleri $4.1K; George Brown (#172) mafya aileleri $5.6K</t>
  </si>
  <si>
    <t xml:space="preserve">Chicago, Boston, Philly, Detroit etnik mahallelerinin yükseliş-çöküşü.</t>
  </si>
  <si>
    <t xml:space="preserve">Orta gelir</t>
  </si>
  <si>
    <t xml:space="preserve">Yaşlılar için e-bisiklet / golf arabası / karavan</t>
  </si>
  <si>
    <t xml:space="preserve">Ebiker (#333) $2.9K, Tomorrow Sky (#480) kişisel uçak $1.6K, Auto Insight USA (#176)</t>
  </si>
  <si>
    <t xml:space="preserve">'60 üstü X almadan önce bilmeniz gerekenler' serisi – golf arabası, trike, karavan, scooter.</t>
  </si>
  <si>
    <t xml:space="preserve">Düşük-orta gelir</t>
  </si>
  <si>
    <t xml:space="preserve">Kamyoncu dünyası</t>
  </si>
  <si>
    <t xml:space="preserve">Trucker Life (#392) $2.5K ('20 U.S. Rest Areas So DANGEROUS' 475K)</t>
  </si>
  <si>
    <t xml:space="preserve">Tehlikeli yollar, köprüler, kamyoncu efsaneleri, kayıp kamyon hikayeleri.</t>
  </si>
  <si>
    <t xml:space="preserve">Puan = talep kanıtı (kanal geliri/outlier) + rakip azlığı + faceless/AI üretilebilirlik + RPM tahmini; benim değerlendirmem (sarı hücreler değiştirilebilir).</t>
  </si>
  <si>
    <t xml:space="preserve">Arama sorgusu</t>
  </si>
  <si>
    <t xml:space="preserve">Tarih filtresi</t>
  </si>
  <si>
    <t xml:space="preserve">Bulgular</t>
  </si>
  <si>
    <t xml:space="preserve">Sonuç</t>
  </si>
  <si>
    <t xml:space="preserve">riding bike through celebrity neighborhoods homes</t>
  </si>
  <si>
    <t xml:space="preserve">Yıl</t>
  </si>
  <si>
    <t xml:space="preserve">Yucky Stew tek ciddi oyuncu (1.6M, 857K, 514K); diğerleri vlog/alakasız.</t>
  </si>
  <si>
    <t xml:space="preserve">AÇIK – tek kanal</t>
  </si>
  <si>
    <t xml:space="preserve">Sherlock Holmes mystery full story sleep</t>
  </si>
  <si>
    <t xml:space="preserve">Ay</t>
  </si>
  <si>
    <t xml:space="preserve">What If SleepStorian (1-7K), 221B Stories (15K), Watson's Journal (~0), Midnight Time Traveller (2K). Toplam ~396 sonuç.</t>
  </si>
  <si>
    <t xml:space="preserve">KISMEN AÇIK – 4-5 küçük kanal, kimse büyümemiş</t>
  </si>
  <si>
    <t xml:space="preserve">Amish leaving why</t>
  </si>
  <si>
    <t xml:space="preserve">Elias Stoltzfus 3.7M; Amish Faith Today 86-105K; 10+ kopya kanal 0-2K izlenme.</t>
  </si>
  <si>
    <t xml:space="preserve">KOPYA DOLU – orijinal kazanıyor, kopyalar ölü</t>
  </si>
  <si>
    <t xml:space="preserve">battlefield unmarked graves just got even</t>
  </si>
  <si>
    <t xml:space="preserve">Silent Ruins 455K; Below the Floor 36K, Relics of America 17K, Redline 4K; birebir kopyalar.</t>
  </si>
  <si>
    <t xml:space="preserve">KISMEN AÇIK – kopyalar 17-36K alabiliyor</t>
  </si>
  <si>
    <t xml:space="preserve">what happened to his children after he was overthrown</t>
  </si>
  <si>
    <t xml:space="preserve">After the Crown 675K; ~15 kopya (RU/DE/ES/AR çeviri dahil) çoğu &lt;3K.</t>
  </si>
  <si>
    <t xml:space="preserve">KOPYA DOLU – kazanan tek</t>
  </si>
  <si>
    <t xml:space="preserve">corrupt cop caught lying in court lawsuit judge</t>
  </si>
  <si>
    <t xml:space="preserve">Ay (uzun)</t>
  </si>
  <si>
    <t xml:space="preserve">Justice Brief 382K, Court Unsealed 15K; 15+ kopya 0-500 izlenme (aynı başlıklar).</t>
  </si>
  <si>
    <t xml:space="preserve">DOLU – kazanan-hepsini-alır</t>
  </si>
  <si>
    <t xml:space="preserve">America's motel families poverty documentary</t>
  </si>
  <si>
    <t xml:space="preserve">Yıl (uzun)</t>
  </si>
  <si>
    <t xml:space="preserve">Talep çok yüksek (Drew Binsky 9.8M/14M, RocaNews 12M, Witness 560K) ama faceless kanal yok denecek kadar az (Professor Maple 96 izlenme).</t>
  </si>
  <si>
    <t xml:space="preserve">AÇIK – talep var, faceless arz yok</t>
  </si>
  <si>
    <t xml:space="preserve">60 year old carpenter wood trick genius idea</t>
  </si>
  <si>
    <t xml:space="preserve">Maker Wood Master (797K), Wood Creation (286K), Unknown Tricks (1.4M), Clever Maker (212K), DIY WoodSpark, woodworking Tips – ~6 kanal, hepsi izlenme alıyor.</t>
  </si>
  <si>
    <t xml:space="preserve">KISMEN DOLU – ama yeni giren de izlenme alıyor</t>
  </si>
  <si>
    <t xml:space="preserve">deep ocean 4K documentary 3 hours relaxing</t>
  </si>
  <si>
    <t xml:space="preserve">Underwater Earth 4K 70K; onlarca yeni kanal 12-2.000 izlenme.</t>
  </si>
  <si>
    <t xml:space="preserve">DOLU</t>
  </si>
  <si>
    <t xml:space="preserve">why nobody wants to visit anymore</t>
  </si>
  <si>
    <t xml:space="preserve">Forgotten British Cities 97K, MrHousing 90K, The Faded Coast 67K, Grand Manors 20K, Industrial South 25K, After The Prime 103K – ~8 kanal, çoğu iyi gidiyor.</t>
  </si>
  <si>
    <t xml:space="preserve">KISMEN AÇIK – format büyüyor, bölgeler paylaşılıyor</t>
  </si>
  <si>
    <t xml:space="preserve">the economics of owning a</t>
  </si>
  <si>
    <t xml:space="preserve">THE OWNERS, Lucas Economics, Mr. Finance, Ownership Lab, Cost Anatomy, Useless Money... 15+ kanal, çoğu &lt;10K.</t>
  </si>
  <si>
    <t xml:space="preserve">rise and fall of golf brand mistake</t>
  </si>
  <si>
    <t xml:space="preserve">Persimmon Archive (320K, 230K, 153K) baskın; American Fairways 4K, Fairway Fortunes 9K, Houston French 397.</t>
  </si>
  <si>
    <t xml:space="preserve">AÇIK (dikey) – her hobi dikeyinde tek lider var</t>
  </si>
  <si>
    <t xml:space="preserve">Japanese homes habits Americans</t>
  </si>
  <si>
    <t xml:space="preserve">15+ kanal; The Japanese Method 36K, gerisi 35-600 izlenme.</t>
  </si>
  <si>
    <t xml:space="preserve">faceless_outliers (Eylül 2026+, &lt;20K abone, &gt;200K izlenme, EN, uzun)</t>
  </si>
  <si>
    <t xml:space="preserve">Eylül-Ekim</t>
  </si>
  <si>
    <t xml:space="preserve">1.310 outlier video. Dikkat çekenler: Curtain Cut (0 abone, Gilligan's Island 437K), 38th Parallel Files (Kore Savaşı 286K), Lost American Footwear (sneaker marka çöküşü 211K), Nature's Tether (bölgesel vahşi yaşam 445K), Mr Isles (İngiliz emekliler 209K), Jonathan Funk (Social Security 501K), Vintage Trains (204K).</t>
  </si>
  <si>
    <t xml:space="preserve">Yeni konsept sinyalleri</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</si>
</sst>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sz val="10"/>
      <name val="WenQuanYi Zen Hei"/>
      <family val="2"/>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Kanallar" displayName="Kanallar" ref="A1:V562" headerRowCount="1" totalsRowCount="0" totalsRowShown="0">
  <autoFilter ref="A1:V562"/>
  <tableColumns count="22">
    <tableColumn id="1" name="No"/>
    <tableColumn id="2" name="Kanal"/>
    <tableColumn id="3" name="Link"/>
    <tableColumn id="4" name="Konsept kodu"/>
    <tableColumn id="5" name="Konsept"/>
    <tableColumn id="6" name="Dil"/>
    <tableColumn id="7" name="Ülke"/>
    <tableColumn id="8" name="Nexlev kategori"/>
    <tableColumn id="9" name="Format"/>
    <tableColumn id="10" name="Aylık gelir ($)"/>
    <tableColumn id="11" name="Abone"/>
    <tableColumn id="12" name="Video sayısı"/>
    <tableColumn id="13" name="Ort. izlenme/video"/>
    <tableColumn id="14" name="Aylık izlenme"/>
    <tableColumn id="15" name="Ort. süre (dk)"/>
    <tableColumn id="16" name="RPM ($)"/>
    <tableColumn id="17" name="Outlier"/>
    <tableColumn id="18" name="AI içerik"/>
    <tableColumn id="19" name="İlk video / yaş"/>
    <tableColumn id="20" name="Kanal yaşı (gün)"/>
    <tableColumn id="21" name="Kaynak"/>
    <tableColumn id="22" name="Son videolar (izlenme)"/>
  </tableColumns>
</table>
</file>

<file path=xl/tables/table2.xml><?xml version="1.0" encoding="utf-8"?>
<table xmlns="http://schemas.openxmlformats.org/spreadsheetml/2006/main" id="2" name="Konseptler" displayName="Konseptler" ref="A1:I102" headerRowCount="1" totalsRowCount="0" totalsRowShown="0">
  <autoFilter ref="A1:I102"/>
  <tableColumns count="9">
    <tableColumn id="1" name="Kod"/>
    <tableColumn id="2" name="Konsept"/>
    <tableColumn id="3" name="Yeni kanal sayısı"/>
    <tableColumn id="4" name="Toplam aylık gelir ($)"/>
    <tableColumn id="5" name="Ort. gelir/kanal ($)"/>
    <tableColumn id="6" name="En yüksek kanal geliri ($)"/>
    <tableColumn id="7" name="Doygunluk (yeni kanal sayısına göre)"/>
    <tableColumn id="8" name="Dış kontrol (YouTube arama)"/>
    <tableColumn id="9" name="Kanallar (N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youtube.com/channel/UCIDGvB15U6R2rA2FFQ62c_Q" TargetMode="External"/><Relationship Id="rId2" Type="http://schemas.openxmlformats.org/officeDocument/2006/relationships/hyperlink" Target="https://youtube.com/channel/UC08gyg6vUaBP6ZE_kXcatRA" TargetMode="External"/><Relationship Id="rId3" Type="http://schemas.openxmlformats.org/officeDocument/2006/relationships/hyperlink" Target="https://youtube.com/channel/UCIkUB2P1EysxV5F5egmAolA" TargetMode="External"/><Relationship Id="rId4" Type="http://schemas.openxmlformats.org/officeDocument/2006/relationships/hyperlink" Target="https://youtube.com/channel/UC8vs1gFDWbXAMuZSbS4qJog" TargetMode="External"/><Relationship Id="rId5" Type="http://schemas.openxmlformats.org/officeDocument/2006/relationships/hyperlink" Target="https://www.youtube.com/channel/UCc0OILjshBxiomU7H2CEVaw" TargetMode="External"/><Relationship Id="rId6" Type="http://schemas.openxmlformats.org/officeDocument/2006/relationships/hyperlink" Target="https://youtube.com/channel/UCVOpdPmZ2zgpKlX2rX04xWA" TargetMode="External"/><Relationship Id="rId7" Type="http://schemas.openxmlformats.org/officeDocument/2006/relationships/hyperlink" Target="https://www.youtube.com/channel/UC9ZXUWi74gxszqLBbRR9hIQ" TargetMode="External"/><Relationship Id="rId8" Type="http://schemas.openxmlformats.org/officeDocument/2006/relationships/hyperlink" Target="https://www.youtube.com/channel/UCN6XxorahzAiDNyRnI1of2g" TargetMode="External"/><Relationship Id="rId9" Type="http://schemas.openxmlformats.org/officeDocument/2006/relationships/hyperlink" Target="https://www.youtube.com/channel/UC356D-NzdnznBOftTpYoBLw" TargetMode="External"/><Relationship Id="rId10" Type="http://schemas.openxmlformats.org/officeDocument/2006/relationships/hyperlink" Target="https://www.youtube.com/channel/UCiK9ODIN1_AEte6eV7m7jZA" TargetMode="External"/><Relationship Id="rId11" Type="http://schemas.openxmlformats.org/officeDocument/2006/relationships/hyperlink" Target="https://www.youtube.com/channel/UCqCJKlmXDx4_MKu_9woM_QQ" TargetMode="External"/><Relationship Id="rId12" Type="http://schemas.openxmlformats.org/officeDocument/2006/relationships/hyperlink" Target="https://www.youtube.com/channel/UCWtaF1n1ptl1MMVujQobO-g" TargetMode="External"/><Relationship Id="rId13" Type="http://schemas.openxmlformats.org/officeDocument/2006/relationships/hyperlink" Target="https://www.youtube.com/channel/UCT1q9fJBRKJL5jziyx-uIgw" TargetMode="External"/><Relationship Id="rId14" Type="http://schemas.openxmlformats.org/officeDocument/2006/relationships/hyperlink" Target="https://www.youtube.com/channel/UCisSboeyknbuydky9aM0XKg" TargetMode="External"/><Relationship Id="rId15" Type="http://schemas.openxmlformats.org/officeDocument/2006/relationships/hyperlink" Target="https://www.youtube.com/channel/UCCCMbgHXpLs2I7BZ_CgXxrg" TargetMode="External"/><Relationship Id="rId16" Type="http://schemas.openxmlformats.org/officeDocument/2006/relationships/hyperlink" Target="https://youtube.com/channel/UCwlYeoiJsel60-S2zKrN2lA" TargetMode="External"/><Relationship Id="rId17" Type="http://schemas.openxmlformats.org/officeDocument/2006/relationships/hyperlink" Target="https://www.youtube.com/channel/UCbEyUOPiOvMn8IhSKOyxvwg" TargetMode="External"/><Relationship Id="rId18" Type="http://schemas.openxmlformats.org/officeDocument/2006/relationships/hyperlink" Target="https://www.youtube.com/channel/UCw079WltHPnwY8YEkVGI0bg" TargetMode="External"/><Relationship Id="rId19" Type="http://schemas.openxmlformats.org/officeDocument/2006/relationships/hyperlink" Target="https://www.youtube.com/channel/UC99MdjZGlgFymmx1yvTx0dQ" TargetMode="External"/><Relationship Id="rId20" Type="http://schemas.openxmlformats.org/officeDocument/2006/relationships/hyperlink" Target="https://www.youtube.com/channel/UCmKmlzzRl53Xas2nQAJ-zvA" TargetMode="External"/><Relationship Id="rId21" Type="http://schemas.openxmlformats.org/officeDocument/2006/relationships/hyperlink" Target="https://www.youtube.com/channel/UC5RY579Vm4iJKvUxXoGpoxg" TargetMode="External"/><Relationship Id="rId22" Type="http://schemas.openxmlformats.org/officeDocument/2006/relationships/hyperlink" Target="https://www.youtube.com/channel/UCmlE_iOuxcCHgS-K5JrKTqQ" TargetMode="External"/><Relationship Id="rId23" Type="http://schemas.openxmlformats.org/officeDocument/2006/relationships/hyperlink" Target="https://www.youtube.com/channel/UC-BWs8Kc2I87wrqb6CctM_w" TargetMode="External"/><Relationship Id="rId24" Type="http://schemas.openxmlformats.org/officeDocument/2006/relationships/hyperlink" Target="https://www.youtube.com/channel/UC-CzFjDbVlqH_mHK-oBy45Q" TargetMode="External"/><Relationship Id="rId25" Type="http://schemas.openxmlformats.org/officeDocument/2006/relationships/hyperlink" Target="https://www.youtube.com/channel/UC3BTP2FmssM9YAt2QIe6u4A" TargetMode="External"/><Relationship Id="rId26" Type="http://schemas.openxmlformats.org/officeDocument/2006/relationships/hyperlink" Target="https://www.youtube.com/channel/UCT-pU2Zws7R3noGajqZfiOg" TargetMode="External"/><Relationship Id="rId27" Type="http://schemas.openxmlformats.org/officeDocument/2006/relationships/hyperlink" Target="https://www.youtube.com/channel/UCWzrwLbRAcwpE3e0yvXBD6g" TargetMode="External"/><Relationship Id="rId28" Type="http://schemas.openxmlformats.org/officeDocument/2006/relationships/hyperlink" Target="https://www.youtube.com/channel/UCOxMM_kU_VaS01FbH8nMorg" TargetMode="External"/><Relationship Id="rId29" Type="http://schemas.openxmlformats.org/officeDocument/2006/relationships/hyperlink" Target="https://www.youtube.com/channel/UCn0xKtOEsQbFVJW1_A_MBHg" TargetMode="External"/><Relationship Id="rId30" Type="http://schemas.openxmlformats.org/officeDocument/2006/relationships/hyperlink" Target="https://www.youtube.com/channel/UCF1a91UyGafSZpU_bujAF3w" TargetMode="External"/><Relationship Id="rId31" Type="http://schemas.openxmlformats.org/officeDocument/2006/relationships/hyperlink" Target="https://www.youtube.com/channel/UCuexaVqvBdr2hNx3023HAqA" TargetMode="External"/><Relationship Id="rId32" Type="http://schemas.openxmlformats.org/officeDocument/2006/relationships/hyperlink" Target="https://www.youtube.com/channel/UC4oPT_4SwFheBeZ7sLfj-_w" TargetMode="External"/><Relationship Id="rId33" Type="http://schemas.openxmlformats.org/officeDocument/2006/relationships/hyperlink" Target="https://www.youtube.com/channel/UCTC4t6UwEV2itXDPpPOeYhQ" TargetMode="External"/><Relationship Id="rId34" Type="http://schemas.openxmlformats.org/officeDocument/2006/relationships/hyperlink" Target="https://www.youtube.com/channel/UCNhV7Jf9yRQsdP7lyLoVu7g" TargetMode="External"/><Relationship Id="rId35" Type="http://schemas.openxmlformats.org/officeDocument/2006/relationships/hyperlink" Target="https://www.youtube.com/channel/UCPCBn5StaKogk2qq1ny1JGQ" TargetMode="External"/><Relationship Id="rId36" Type="http://schemas.openxmlformats.org/officeDocument/2006/relationships/hyperlink" Target="https://www.youtube.com/channel/UCMV00wakJpu71g4DAA0c4hg" TargetMode="External"/><Relationship Id="rId37" Type="http://schemas.openxmlformats.org/officeDocument/2006/relationships/hyperlink" Target="https://www.youtube.com/channel/UCaMJ003hQXcETQIs2_ppVLQ" TargetMode="External"/><Relationship Id="rId38" Type="http://schemas.openxmlformats.org/officeDocument/2006/relationships/hyperlink" Target="https://www.youtube.com/channel/UC4jb53XNsc1IlML43tSH7Nw" TargetMode="External"/><Relationship Id="rId39" Type="http://schemas.openxmlformats.org/officeDocument/2006/relationships/hyperlink" Target="https://www.youtube.com/channel/UCXXf_7Ub1Zzyo_HqCfA088Q" TargetMode="External"/><Relationship Id="rId40" Type="http://schemas.openxmlformats.org/officeDocument/2006/relationships/hyperlink" Target="https://www.youtube.com/channel/UCdPsd7GBKrHAYn0p-ojZ8Mw" TargetMode="External"/><Relationship Id="rId41" Type="http://schemas.openxmlformats.org/officeDocument/2006/relationships/hyperlink" Target="https://www.youtube.com/channel/UCTV2bcXlpiiTG4sf2LdMpfQ" TargetMode="External"/><Relationship Id="rId42" Type="http://schemas.openxmlformats.org/officeDocument/2006/relationships/hyperlink" Target="https://youtube.com/channel/UCZZA4YFnJ0FsD0QpqRBLmeQ" TargetMode="External"/><Relationship Id="rId43" Type="http://schemas.openxmlformats.org/officeDocument/2006/relationships/hyperlink" Target="https://www.youtube.com/channel/UCur8BT-BbvOUHtvFJVAk2dQ" TargetMode="External"/><Relationship Id="rId44" Type="http://schemas.openxmlformats.org/officeDocument/2006/relationships/hyperlink" Target="https://www.youtube.com/channel/UC7L9jE2C_2y1pkqXJjYkDcg" TargetMode="External"/><Relationship Id="rId45" Type="http://schemas.openxmlformats.org/officeDocument/2006/relationships/hyperlink" Target="https://www.youtube.com/channel/UCXM2jD0346lD91TEzPhH54Q" TargetMode="External"/><Relationship Id="rId46" Type="http://schemas.openxmlformats.org/officeDocument/2006/relationships/hyperlink" Target="https://www.youtube.com/channel/UCfNMaCk38ESUA3kcadq-m2w" TargetMode="External"/><Relationship Id="rId47" Type="http://schemas.openxmlformats.org/officeDocument/2006/relationships/hyperlink" Target="https://www.youtube.com/channel/UChHGjAYhP5L4rDs4Sh-H1Lw" TargetMode="External"/><Relationship Id="rId48" Type="http://schemas.openxmlformats.org/officeDocument/2006/relationships/hyperlink" Target="https://www.youtube.com/channel/UCFFJqa3pFSiXyFjfnQsUxqA" TargetMode="External"/><Relationship Id="rId49" Type="http://schemas.openxmlformats.org/officeDocument/2006/relationships/hyperlink" Target="https://www.youtube.com/channel/UCTzF8JRaZFBiNPNXD19yNjA" TargetMode="External"/><Relationship Id="rId50" Type="http://schemas.openxmlformats.org/officeDocument/2006/relationships/hyperlink" Target="https://www.youtube.com/channel/UCVo4E-iqlaasJpfC1G4ytKQ" TargetMode="External"/><Relationship Id="rId51" Type="http://schemas.openxmlformats.org/officeDocument/2006/relationships/hyperlink" Target="https://www.youtube.com/channel/UCDLAFlBXQIxXX_OwMhslh-g" TargetMode="External"/><Relationship Id="rId52" Type="http://schemas.openxmlformats.org/officeDocument/2006/relationships/hyperlink" Target="https://www.youtube.com/channel/UCUiiNcbpLDUqnSla1k5uO_Q" TargetMode="External"/><Relationship Id="rId53" Type="http://schemas.openxmlformats.org/officeDocument/2006/relationships/hyperlink" Target="https://www.youtube.com/channel/UCcmr0L__kSjib_HHM_vghdw" TargetMode="External"/><Relationship Id="rId54" Type="http://schemas.openxmlformats.org/officeDocument/2006/relationships/hyperlink" Target="https://www.youtube.com/channel/UClEXxBDr4Yx2S71W3WUgMKQ" TargetMode="External"/><Relationship Id="rId55" Type="http://schemas.openxmlformats.org/officeDocument/2006/relationships/hyperlink" Target="https://www.youtube.com/channel/UCroMI42D_iypRHEqI2orVeA" TargetMode="External"/><Relationship Id="rId56" Type="http://schemas.openxmlformats.org/officeDocument/2006/relationships/hyperlink" Target="https://www.youtube.com/channel/UCyxbwxc8YKBFt1XefMhF_fw" TargetMode="External"/><Relationship Id="rId57" Type="http://schemas.openxmlformats.org/officeDocument/2006/relationships/hyperlink" Target="https://www.youtube.com/channel/UCICKutLYvR7tyLz7Es1XeEQ" TargetMode="External"/><Relationship Id="rId58" Type="http://schemas.openxmlformats.org/officeDocument/2006/relationships/hyperlink" Target="https://www.youtube.com/channel/UCtrNrW5RTVzL7Tj07EExLKg" TargetMode="External"/><Relationship Id="rId59" Type="http://schemas.openxmlformats.org/officeDocument/2006/relationships/hyperlink" Target="https://www.youtube.com/channel/UCsCf1qAHL01jjtFdb0jutsw" TargetMode="External"/><Relationship Id="rId60" Type="http://schemas.openxmlformats.org/officeDocument/2006/relationships/hyperlink" Target="https://www.youtube.com/channel/UCEzrcp8suDtbpeD-UOkB6Uw" TargetMode="External"/><Relationship Id="rId61" Type="http://schemas.openxmlformats.org/officeDocument/2006/relationships/hyperlink" Target="https://www.youtube.com/channel/UCqkRJuoX1VExGyJmW8zKTug" TargetMode="External"/><Relationship Id="rId62" Type="http://schemas.openxmlformats.org/officeDocument/2006/relationships/hyperlink" Target="https://www.youtube.com/channel/UCzc2NikbNg8tGYM0J6D6i-g" TargetMode="External"/><Relationship Id="rId63" Type="http://schemas.openxmlformats.org/officeDocument/2006/relationships/hyperlink" Target="https://www.youtube.com/channel/UCysUS3TjpBLsEPkp0NTV8FA" TargetMode="External"/><Relationship Id="rId64" Type="http://schemas.openxmlformats.org/officeDocument/2006/relationships/hyperlink" Target="https://www.youtube.com/channel/UCO5Y9aGyQi5hXGQY7gJ6-yA" TargetMode="External"/><Relationship Id="rId65" Type="http://schemas.openxmlformats.org/officeDocument/2006/relationships/hyperlink" Target="https://www.youtube.com/channel/UCb0ps9eCp0y6yP1Xg4sDDFw" TargetMode="External"/><Relationship Id="rId66" Type="http://schemas.openxmlformats.org/officeDocument/2006/relationships/hyperlink" Target="https://www.youtube.com/channel/UCHR33aJzt9_R1w9Z83kUBAQ" TargetMode="External"/><Relationship Id="rId67" Type="http://schemas.openxmlformats.org/officeDocument/2006/relationships/hyperlink" Target="https://www.youtube.com/channel/UCXjqizYVxzWMyFBKqIpYolA" TargetMode="External"/><Relationship Id="rId68" Type="http://schemas.openxmlformats.org/officeDocument/2006/relationships/hyperlink" Target="https://www.youtube.com/channel/UCpGORZ8Ghwkie-a9LM7E4sA" TargetMode="External"/><Relationship Id="rId69" Type="http://schemas.openxmlformats.org/officeDocument/2006/relationships/hyperlink" Target="https://www.youtube.com/channel/UCuiyYQhBZIpB4-zA0ghGKRA" TargetMode="External"/><Relationship Id="rId70" Type="http://schemas.openxmlformats.org/officeDocument/2006/relationships/hyperlink" Target="https://www.youtube.com/channel/UCatpW3vrYd0mjQe7_-atEIA" TargetMode="External"/><Relationship Id="rId71" Type="http://schemas.openxmlformats.org/officeDocument/2006/relationships/hyperlink" Target="https://www.youtube.com/channel/UCT-2bm-fXcXWah6x53d5LSg" TargetMode="External"/><Relationship Id="rId72" Type="http://schemas.openxmlformats.org/officeDocument/2006/relationships/hyperlink" Target="https://www.youtube.com/channel/UCv6L8IOP2ei5b0jPj0a-69w" TargetMode="External"/><Relationship Id="rId73" Type="http://schemas.openxmlformats.org/officeDocument/2006/relationships/hyperlink" Target="https://www.youtube.com/channel/UCyOO3I8J-P4DS-x0xQeHv3w" TargetMode="External"/><Relationship Id="rId74" Type="http://schemas.openxmlformats.org/officeDocument/2006/relationships/hyperlink" Target="https://www.youtube.com/channel/UCxKKHOG3lirW8AoOIzF8Rag" TargetMode="External"/><Relationship Id="rId75" Type="http://schemas.openxmlformats.org/officeDocument/2006/relationships/hyperlink" Target="https://www.youtube.com/channel/UCfht3x6VMVGkrarY71NDVJQ" TargetMode="External"/><Relationship Id="rId76" Type="http://schemas.openxmlformats.org/officeDocument/2006/relationships/hyperlink" Target="https://www.youtube.com/channel/UCkTA35rUjdRcWAAojUvYjAg" TargetMode="External"/><Relationship Id="rId77" Type="http://schemas.openxmlformats.org/officeDocument/2006/relationships/hyperlink" Target="https://www.youtube.com/channel/UC6uDrnHYRkssToAmvdtxiqw" TargetMode="External"/><Relationship Id="rId78" Type="http://schemas.openxmlformats.org/officeDocument/2006/relationships/hyperlink" Target="https://www.youtube.com/channel/UCgYTGQaaVl--ma4BOX41-MA" TargetMode="External"/><Relationship Id="rId79" Type="http://schemas.openxmlformats.org/officeDocument/2006/relationships/hyperlink" Target="https://www.youtube.com/channel/UCxNTCM-hErN9_FZvNilDU8Q" TargetMode="External"/><Relationship Id="rId80" Type="http://schemas.openxmlformats.org/officeDocument/2006/relationships/hyperlink" Target="https://www.youtube.com/channel/UC3WuejQAif5JTgUx_Ee25Zw" TargetMode="External"/><Relationship Id="rId81" Type="http://schemas.openxmlformats.org/officeDocument/2006/relationships/hyperlink" Target="https://www.youtube.com/channel/UCFGbFxED1ZssIePFzToxRxA" TargetMode="External"/><Relationship Id="rId82" Type="http://schemas.openxmlformats.org/officeDocument/2006/relationships/hyperlink" Target="https://www.youtube.com/channel/UCp53SfSiLUCpNKaIoepPmhA" TargetMode="External"/><Relationship Id="rId83" Type="http://schemas.openxmlformats.org/officeDocument/2006/relationships/hyperlink" Target="https://www.youtube.com/channel/UCnZqg6toyKshhN_GdJ5sFZA" TargetMode="External"/><Relationship Id="rId84" Type="http://schemas.openxmlformats.org/officeDocument/2006/relationships/hyperlink" Target="https://www.youtube.com/channel/UCV8RemjLe01QEsVFVkqvazw" TargetMode="External"/><Relationship Id="rId85" Type="http://schemas.openxmlformats.org/officeDocument/2006/relationships/hyperlink" Target="https://www.youtube.com/channel/UCBT_GVxkghtdIKNsZBUxGng" TargetMode="External"/><Relationship Id="rId86" Type="http://schemas.openxmlformats.org/officeDocument/2006/relationships/hyperlink" Target="https://www.youtube.com/channel/UCCEwJbv7D1CYzxdKYYOH6AA" TargetMode="External"/><Relationship Id="rId87" Type="http://schemas.openxmlformats.org/officeDocument/2006/relationships/hyperlink" Target="https://www.youtube.com/channel/UCdi-rTleLSNBYEVOWuAic5w" TargetMode="External"/><Relationship Id="rId88" Type="http://schemas.openxmlformats.org/officeDocument/2006/relationships/hyperlink" Target="https://www.youtube.com/channel/UCIQWT-ik0qdUqMzjf4r6SPg" TargetMode="External"/><Relationship Id="rId89" Type="http://schemas.openxmlformats.org/officeDocument/2006/relationships/hyperlink" Target="https://www.youtube.com/channel/UCvl5qAsaN6y5XKRcDk3cQYg" TargetMode="External"/><Relationship Id="rId90" Type="http://schemas.openxmlformats.org/officeDocument/2006/relationships/hyperlink" Target="https://www.youtube.com/channel/UCnIpkOAIMk5pfhHxIIuwa1g" TargetMode="External"/><Relationship Id="rId91" Type="http://schemas.openxmlformats.org/officeDocument/2006/relationships/hyperlink" Target="https://www.youtube.com/channel/UC7kP9jppJ6cWKn-qhMDxooQ" TargetMode="External"/><Relationship Id="rId92" Type="http://schemas.openxmlformats.org/officeDocument/2006/relationships/hyperlink" Target="https://www.youtube.com/channel/UCQcBYZxFW7YwNMU8-DsT3Uw" TargetMode="External"/><Relationship Id="rId93" Type="http://schemas.openxmlformats.org/officeDocument/2006/relationships/hyperlink" Target="https://www.youtube.com/channel/UC3XeSTmAyQ_GIdQKK9lm6Hw" TargetMode="External"/><Relationship Id="rId94" Type="http://schemas.openxmlformats.org/officeDocument/2006/relationships/hyperlink" Target="https://www.youtube.com/channel/UCe6zP0tEDeo1KkvLBeIuCSA" TargetMode="External"/><Relationship Id="rId95" Type="http://schemas.openxmlformats.org/officeDocument/2006/relationships/hyperlink" Target="https://www.youtube.com/channel/UCHCHcGMkCZt0TbchB5umlnA" TargetMode="External"/><Relationship Id="rId96" Type="http://schemas.openxmlformats.org/officeDocument/2006/relationships/hyperlink" Target="https://www.youtube.com/channel/UCM5WHLHLmHTefXWRrOfbkwQ" TargetMode="External"/><Relationship Id="rId97" Type="http://schemas.openxmlformats.org/officeDocument/2006/relationships/hyperlink" Target="https://www.youtube.com/channel/UCM7EjjwsshQzCe0c_HsHmaQ" TargetMode="External"/><Relationship Id="rId98" Type="http://schemas.openxmlformats.org/officeDocument/2006/relationships/hyperlink" Target="https://youtube.com/channel/UC23Fwk1PjlaqDbqX9rqDmFQ" TargetMode="External"/><Relationship Id="rId99" Type="http://schemas.openxmlformats.org/officeDocument/2006/relationships/hyperlink" Target="https://www.youtube.com/channel/UCtoxoIsudLFxMl8HGMHF6wA" TargetMode="External"/><Relationship Id="rId100" Type="http://schemas.openxmlformats.org/officeDocument/2006/relationships/hyperlink" Target="https://www.youtube.com/channel/UCCeS4-sTNLE0Oz3k1nL1u3Q" TargetMode="External"/><Relationship Id="rId101" Type="http://schemas.openxmlformats.org/officeDocument/2006/relationships/hyperlink" Target="https://www.youtube.com/channel/UCEW-GejoOWbRdi7-eAIn2Kg" TargetMode="External"/><Relationship Id="rId102" Type="http://schemas.openxmlformats.org/officeDocument/2006/relationships/hyperlink" Target="https://www.youtube.com/channel/UCaS30yIIV6y2zqSnHGdIGMQ" TargetMode="External"/><Relationship Id="rId103" Type="http://schemas.openxmlformats.org/officeDocument/2006/relationships/hyperlink" Target="https://www.youtube.com/channel/UChucrMG4lVp_T5JBWt8mBoA" TargetMode="External"/><Relationship Id="rId104" Type="http://schemas.openxmlformats.org/officeDocument/2006/relationships/hyperlink" Target="https://www.youtube.com/channel/UCy-JUYkzmTEoUp0OdnJCptw" TargetMode="External"/><Relationship Id="rId105" Type="http://schemas.openxmlformats.org/officeDocument/2006/relationships/hyperlink" Target="https://www.youtube.com/channel/UC1fj1nWNY7nUJHhrrRxmA6w" TargetMode="External"/><Relationship Id="rId106" Type="http://schemas.openxmlformats.org/officeDocument/2006/relationships/hyperlink" Target="https://www.youtube.com/channel/UCf4O87c2IWx46j2o1fTuEBA" TargetMode="External"/><Relationship Id="rId107" Type="http://schemas.openxmlformats.org/officeDocument/2006/relationships/hyperlink" Target="https://www.youtube.com/channel/UCi2vJ7xxHy4ob6gSM7PlMcQ" TargetMode="External"/><Relationship Id="rId108" Type="http://schemas.openxmlformats.org/officeDocument/2006/relationships/hyperlink" Target="https://www.youtube.com/channel/UCVIAhbTSeil-rQNrz68U-Aw" TargetMode="External"/><Relationship Id="rId109" Type="http://schemas.openxmlformats.org/officeDocument/2006/relationships/hyperlink" Target="https://www.youtube.com/channel/UCH2-Zsu9peNza4sTYd0pOtA" TargetMode="External"/><Relationship Id="rId110" Type="http://schemas.openxmlformats.org/officeDocument/2006/relationships/hyperlink" Target="https://www.youtube.com/channel/UCPaAQ4i3kxGiH161WmhD-xQ" TargetMode="External"/><Relationship Id="rId111" Type="http://schemas.openxmlformats.org/officeDocument/2006/relationships/hyperlink" Target="https://www.youtube.com/channel/UCnMOCidfMTk5GViFIU_dIQw" TargetMode="External"/><Relationship Id="rId112" Type="http://schemas.openxmlformats.org/officeDocument/2006/relationships/hyperlink" Target="https://www.youtube.com/channel/UCg4bKWN64z2sV20ZR24vu6Q" TargetMode="External"/><Relationship Id="rId113" Type="http://schemas.openxmlformats.org/officeDocument/2006/relationships/hyperlink" Target="https://www.youtube.com/channel/UCidqAQ2CxzBp4OYzapEu_og" TargetMode="External"/><Relationship Id="rId114" Type="http://schemas.openxmlformats.org/officeDocument/2006/relationships/hyperlink" Target="https://www.youtube.com/channel/UCZ30PyBGwK2xQ1X8bNZWBXA" TargetMode="External"/><Relationship Id="rId115" Type="http://schemas.openxmlformats.org/officeDocument/2006/relationships/hyperlink" Target="https://www.youtube.com/channel/UCVzfRoa7nhJuHniJp3i62QQ" TargetMode="External"/><Relationship Id="rId116" Type="http://schemas.openxmlformats.org/officeDocument/2006/relationships/hyperlink" Target="https://www.youtube.com/channel/UCtFS9JpeuEV6VATKsAcxjmw" TargetMode="External"/><Relationship Id="rId117" Type="http://schemas.openxmlformats.org/officeDocument/2006/relationships/hyperlink" Target="https://www.youtube.com/channel/UClSX7X2ybg1ienhdJmA7lXQ" TargetMode="External"/><Relationship Id="rId118" Type="http://schemas.openxmlformats.org/officeDocument/2006/relationships/hyperlink" Target="https://www.youtube.com/channel/UCMqezKrzG1ky_YHiZwpAPhw" TargetMode="External"/><Relationship Id="rId119" Type="http://schemas.openxmlformats.org/officeDocument/2006/relationships/hyperlink" Target="https://www.youtube.com/channel/UC46eOKPmz2bhY3Gvmw1h19A" TargetMode="External"/><Relationship Id="rId120" Type="http://schemas.openxmlformats.org/officeDocument/2006/relationships/hyperlink" Target="https://www.youtube.com/channel/UCCZmFLLVs4e6_1dz5mptXwA" TargetMode="External"/><Relationship Id="rId121" Type="http://schemas.openxmlformats.org/officeDocument/2006/relationships/hyperlink" Target="https://www.youtube.com/channel/UC2e_2wwqo16EhDyRH96jlWQ" TargetMode="External"/><Relationship Id="rId122" Type="http://schemas.openxmlformats.org/officeDocument/2006/relationships/hyperlink" Target="https://www.youtube.com/channel/UCMs220mgLmO8sDt_IN0mbnw" TargetMode="External"/><Relationship Id="rId123" Type="http://schemas.openxmlformats.org/officeDocument/2006/relationships/hyperlink" Target="https://www.youtube.com/channel/UCqRJuWcnJ0D1V7wEXWjrS9A" TargetMode="External"/><Relationship Id="rId124" Type="http://schemas.openxmlformats.org/officeDocument/2006/relationships/hyperlink" Target="https://www.youtube.com/channel/UCf9O3MaUZAXbUeb5LllhekA" TargetMode="External"/><Relationship Id="rId125" Type="http://schemas.openxmlformats.org/officeDocument/2006/relationships/hyperlink" Target="https://www.youtube.com/channel/UC7zRw8GXR7GQL8JgWOtSVAw" TargetMode="External"/><Relationship Id="rId126" Type="http://schemas.openxmlformats.org/officeDocument/2006/relationships/hyperlink" Target="https://www.youtube.com/channel/UCwQNN4OsKE8_h13Bj0R10_Q" TargetMode="External"/><Relationship Id="rId127" Type="http://schemas.openxmlformats.org/officeDocument/2006/relationships/hyperlink" Target="https://www.youtube.com/channel/UC2RSpoV7kdysYRRBbBZvChg" TargetMode="External"/><Relationship Id="rId128" Type="http://schemas.openxmlformats.org/officeDocument/2006/relationships/hyperlink" Target="https://www.youtube.com/channel/UCQgoNo0sUpr_3PBdtz_FZdA" TargetMode="External"/><Relationship Id="rId129" Type="http://schemas.openxmlformats.org/officeDocument/2006/relationships/hyperlink" Target="https://www.youtube.com/channel/UC5KMQjoN_7w0C3ctLJ46pWQ" TargetMode="External"/><Relationship Id="rId130" Type="http://schemas.openxmlformats.org/officeDocument/2006/relationships/hyperlink" Target="https://www.youtube.com/channel/UCzg_8GAmu9EmTH45GSkQOuw" TargetMode="External"/><Relationship Id="rId131" Type="http://schemas.openxmlformats.org/officeDocument/2006/relationships/hyperlink" Target="https://www.youtube.com/channel/UC9uRXMVtPLVVijfQBdqpOMg" TargetMode="External"/><Relationship Id="rId132" Type="http://schemas.openxmlformats.org/officeDocument/2006/relationships/hyperlink" Target="https://www.youtube.com/channel/UCaZGq52vehDzh3PU_4yAksg" TargetMode="External"/><Relationship Id="rId133" Type="http://schemas.openxmlformats.org/officeDocument/2006/relationships/hyperlink" Target="https://www.youtube.com/channel/UC3PwuepPoJA-OlFbEFD2hHw" TargetMode="External"/><Relationship Id="rId134" Type="http://schemas.openxmlformats.org/officeDocument/2006/relationships/hyperlink" Target="https://www.youtube.com/channel/UCa4X1lZKrFmY5qcxcUx4Bfw" TargetMode="External"/><Relationship Id="rId135" Type="http://schemas.openxmlformats.org/officeDocument/2006/relationships/hyperlink" Target="https://www.youtube.com/channel/UCGBPhbTU66Y79PmZjemILuA" TargetMode="External"/><Relationship Id="rId136" Type="http://schemas.openxmlformats.org/officeDocument/2006/relationships/hyperlink" Target="https://www.youtube.com/channel/UCBRNw7173NrvvMlaDV5m2qA" TargetMode="External"/><Relationship Id="rId137" Type="http://schemas.openxmlformats.org/officeDocument/2006/relationships/hyperlink" Target="https://www.youtube.com/channel/UCCPCEUtao-g9_iWYyfF-B1w" TargetMode="External"/><Relationship Id="rId138" Type="http://schemas.openxmlformats.org/officeDocument/2006/relationships/hyperlink" Target="https://www.youtube.com/channel/UCHd-8sQw1mK9OI-9JTejfTA" TargetMode="External"/><Relationship Id="rId139" Type="http://schemas.openxmlformats.org/officeDocument/2006/relationships/hyperlink" Target="https://www.youtube.com/channel/UCsGTqAmKwg9tC-MzwerQfRQ" TargetMode="External"/><Relationship Id="rId140" Type="http://schemas.openxmlformats.org/officeDocument/2006/relationships/hyperlink" Target="https://www.youtube.com/channel/UCwvpTmocCcxuXX1_XbB34Tg" TargetMode="External"/><Relationship Id="rId141" Type="http://schemas.openxmlformats.org/officeDocument/2006/relationships/hyperlink" Target="https://www.youtube.com/channel/UCsCUlphk3_uIzYATWEizlOQ" TargetMode="External"/><Relationship Id="rId142" Type="http://schemas.openxmlformats.org/officeDocument/2006/relationships/hyperlink" Target="https://www.youtube.com/channel/UCmtNjbVx2k2g69ZfHN-A7Dg" TargetMode="External"/><Relationship Id="rId143" Type="http://schemas.openxmlformats.org/officeDocument/2006/relationships/hyperlink" Target="https://www.youtube.com/channel/UC8M2042mnxDerxayGEi61Zw" TargetMode="External"/><Relationship Id="rId144" Type="http://schemas.openxmlformats.org/officeDocument/2006/relationships/hyperlink" Target="https://www.youtube.com/channel/UCC7XwgQzemqU0pCDNtIei0w" TargetMode="External"/><Relationship Id="rId145" Type="http://schemas.openxmlformats.org/officeDocument/2006/relationships/hyperlink" Target="https://www.youtube.com/channel/UCKgdx0P0pSaKUsgZBkL9TSg" TargetMode="External"/><Relationship Id="rId146" Type="http://schemas.openxmlformats.org/officeDocument/2006/relationships/hyperlink" Target="https://www.youtube.com/channel/UCeVLlFyuuFlgyBiZbuusREQ" TargetMode="External"/><Relationship Id="rId147" Type="http://schemas.openxmlformats.org/officeDocument/2006/relationships/hyperlink" Target="https://www.youtube.com/channel/UCcQCmfUlrio5w9fYfmsJXMg" TargetMode="External"/><Relationship Id="rId148" Type="http://schemas.openxmlformats.org/officeDocument/2006/relationships/hyperlink" Target="https://www.youtube.com/channel/UCnkylnG5o91q0BTcmc9MW0A" TargetMode="External"/><Relationship Id="rId149" Type="http://schemas.openxmlformats.org/officeDocument/2006/relationships/hyperlink" Target="https://www.youtube.com/channel/UCOlVRnE-K4uG3qUUrbsB2tQ" TargetMode="External"/><Relationship Id="rId150" Type="http://schemas.openxmlformats.org/officeDocument/2006/relationships/hyperlink" Target="https://www.youtube.com/channel/UCGpzMzT1dsgrSRKYtfg4kUQ" TargetMode="External"/><Relationship Id="rId151" Type="http://schemas.openxmlformats.org/officeDocument/2006/relationships/hyperlink" Target="https://www.youtube.com/channel/UCO4GSX14Rd6wcD6EFYB5kJw" TargetMode="External"/><Relationship Id="rId152" Type="http://schemas.openxmlformats.org/officeDocument/2006/relationships/hyperlink" Target="https://www.youtube.com/channel/UCyhUwgh0_UbMHNEsgW73GmA" TargetMode="External"/><Relationship Id="rId153" Type="http://schemas.openxmlformats.org/officeDocument/2006/relationships/hyperlink" Target="https://www.youtube.com/channel/UCTIH131_oD_HOD27c8_z8Gg" TargetMode="External"/><Relationship Id="rId154" Type="http://schemas.openxmlformats.org/officeDocument/2006/relationships/hyperlink" Target="https://www.youtube.com/channel/UCE1H5yZnKeEobBOXcSri8Wg" TargetMode="External"/><Relationship Id="rId155" Type="http://schemas.openxmlformats.org/officeDocument/2006/relationships/hyperlink" Target="https://www.youtube.com/channel/UChbRsU1X0nfb1RANSDj6N1Q" TargetMode="External"/><Relationship Id="rId156" Type="http://schemas.openxmlformats.org/officeDocument/2006/relationships/hyperlink" Target="https://www.youtube.com/channel/UCEOD4zfc86PGejLIc5cIfCg" TargetMode="External"/><Relationship Id="rId157" Type="http://schemas.openxmlformats.org/officeDocument/2006/relationships/hyperlink" Target="https://www.youtube.com/channel/UCtsFNFkM1_66j1USSgs-dAg" TargetMode="External"/><Relationship Id="rId158" Type="http://schemas.openxmlformats.org/officeDocument/2006/relationships/hyperlink" Target="https://www.youtube.com/channel/UCcTTK14g4fcyMtpXjowOnYg" TargetMode="External"/><Relationship Id="rId159" Type="http://schemas.openxmlformats.org/officeDocument/2006/relationships/hyperlink" Target="https://www.youtube.com/channel/UCMuWETbS1JhHjewQ4935VcA" TargetMode="External"/><Relationship Id="rId160" Type="http://schemas.openxmlformats.org/officeDocument/2006/relationships/hyperlink" Target="https://www.youtube.com/channel/UCYdyEPIne702J9Eg1zGudWg" TargetMode="External"/><Relationship Id="rId161" Type="http://schemas.openxmlformats.org/officeDocument/2006/relationships/hyperlink" Target="https://www.youtube.com/channel/UCCRV2YpviZmi4XaW0uiS73Q" TargetMode="External"/><Relationship Id="rId162" Type="http://schemas.openxmlformats.org/officeDocument/2006/relationships/hyperlink" Target="https://www.youtube.com/channel/UC_qrphyJytJ5PtYW7MMAdLg" TargetMode="External"/><Relationship Id="rId163" Type="http://schemas.openxmlformats.org/officeDocument/2006/relationships/hyperlink" Target="https://www.youtube.com/channel/UCbacbqqAdAoLrAsTcyu92nw" TargetMode="External"/><Relationship Id="rId164" Type="http://schemas.openxmlformats.org/officeDocument/2006/relationships/hyperlink" Target="https://www.youtube.com/channel/UCBohjRbgJIWkLRn83SXQBrg" TargetMode="External"/><Relationship Id="rId165" Type="http://schemas.openxmlformats.org/officeDocument/2006/relationships/hyperlink" Target="https://www.youtube.com/channel/UC5UWss8c9xKDpZBu2FtUsYA" TargetMode="External"/><Relationship Id="rId166" Type="http://schemas.openxmlformats.org/officeDocument/2006/relationships/hyperlink" Target="https://www.youtube.com/channel/UCUKn0Pn8KdpKP8gQLEfjFWw" TargetMode="External"/><Relationship Id="rId167" Type="http://schemas.openxmlformats.org/officeDocument/2006/relationships/hyperlink" Target="https://www.youtube.com/channel/UClVmPVF1AxBkx-hcA371RoQ" TargetMode="External"/><Relationship Id="rId168" Type="http://schemas.openxmlformats.org/officeDocument/2006/relationships/hyperlink" Target="https://www.youtube.com/channel/UCTSBLbWtDC7C00lppWWx36A" TargetMode="External"/><Relationship Id="rId169" Type="http://schemas.openxmlformats.org/officeDocument/2006/relationships/hyperlink" Target="https://www.youtube.com/channel/UCHeCe_SPdX7YTH96mUXdsCQ" TargetMode="External"/><Relationship Id="rId170" Type="http://schemas.openxmlformats.org/officeDocument/2006/relationships/hyperlink" Target="https://youtube.com/channel/UCRdfL6kgxYXzqXRSh0-dRMg" TargetMode="External"/><Relationship Id="rId171" Type="http://schemas.openxmlformats.org/officeDocument/2006/relationships/hyperlink" Target="https://www.youtube.com/channel/UCAKhP83DFTK-YxySFRCOenw" TargetMode="External"/><Relationship Id="rId172" Type="http://schemas.openxmlformats.org/officeDocument/2006/relationships/hyperlink" Target="https://www.youtube.com/channel/UCfX4VvEV0L-BFQmDCPQJxzw" TargetMode="External"/><Relationship Id="rId173" Type="http://schemas.openxmlformats.org/officeDocument/2006/relationships/hyperlink" Target="https://www.youtube.com/channel/UC_BTRgUQHj-qRD0lx2tYSZg" TargetMode="External"/><Relationship Id="rId174" Type="http://schemas.openxmlformats.org/officeDocument/2006/relationships/hyperlink" Target="https://www.youtube.com/channel/UCH93JK_DtGXvYCsfUh03x_g" TargetMode="External"/><Relationship Id="rId175" Type="http://schemas.openxmlformats.org/officeDocument/2006/relationships/hyperlink" Target="https://www.youtube.com/channel/UC5RiB1Zmr49q0hU0Zu8s0lQ" TargetMode="External"/><Relationship Id="rId176" Type="http://schemas.openxmlformats.org/officeDocument/2006/relationships/hyperlink" Target="https://www.youtube.com/channel/UCecB2BEeNELNHx1fR2iuSIw" TargetMode="External"/><Relationship Id="rId177" Type="http://schemas.openxmlformats.org/officeDocument/2006/relationships/hyperlink" Target="https://www.youtube.com/channel/UC0SmgKhGsHI1pdwNULpFxKg" TargetMode="External"/><Relationship Id="rId178" Type="http://schemas.openxmlformats.org/officeDocument/2006/relationships/hyperlink" Target="https://www.youtube.com/channel/UCt_GfvYbMFpnziOO4G1rOaA" TargetMode="External"/><Relationship Id="rId179" Type="http://schemas.openxmlformats.org/officeDocument/2006/relationships/hyperlink" Target="https://www.youtube.com/channel/UC5YbXpiT6KkuKYyKJRVR_wA" TargetMode="External"/><Relationship Id="rId180" Type="http://schemas.openxmlformats.org/officeDocument/2006/relationships/hyperlink" Target="https://www.youtube.com/channel/UCE3DzKfdkEEf3kwQYPqcJFA" TargetMode="External"/><Relationship Id="rId181" Type="http://schemas.openxmlformats.org/officeDocument/2006/relationships/hyperlink" Target="https://www.youtube.com/channel/UCdagOhq55aNqVRjxhHBrMZw" TargetMode="External"/><Relationship Id="rId182" Type="http://schemas.openxmlformats.org/officeDocument/2006/relationships/hyperlink" Target="https://www.youtube.com/channel/UCTIySjLA2XBB47jSZP4rdpQ" TargetMode="External"/><Relationship Id="rId183" Type="http://schemas.openxmlformats.org/officeDocument/2006/relationships/hyperlink" Target="https://www.youtube.com/channel/UC6476Eh5bFzwjAs2wheP-Og" TargetMode="External"/><Relationship Id="rId184" Type="http://schemas.openxmlformats.org/officeDocument/2006/relationships/hyperlink" Target="https://www.youtube.com/channel/UC496wjCzbNOCz2SfmdH5W9w" TargetMode="External"/><Relationship Id="rId185" Type="http://schemas.openxmlformats.org/officeDocument/2006/relationships/hyperlink" Target="https://www.youtube.com/channel/UClknXTywTKMGJdHHFbluExw" TargetMode="External"/><Relationship Id="rId186" Type="http://schemas.openxmlformats.org/officeDocument/2006/relationships/hyperlink" Target="https://www.youtube.com/channel/UCq9uxerK4T9x19HZQ7g2XCQ" TargetMode="External"/><Relationship Id="rId187" Type="http://schemas.openxmlformats.org/officeDocument/2006/relationships/hyperlink" Target="https://www.youtube.com/channel/UC1sJGuJjz_2zvRHf_-gtfRA" TargetMode="External"/><Relationship Id="rId188" Type="http://schemas.openxmlformats.org/officeDocument/2006/relationships/hyperlink" Target="https://www.youtube.com/channel/UCLzCZ0NFgabj02duyDY3EXQ" TargetMode="External"/><Relationship Id="rId189" Type="http://schemas.openxmlformats.org/officeDocument/2006/relationships/hyperlink" Target="https://www.youtube.com/channel/UCKZhRLm6_j3UZPy-SX1oeeQ" TargetMode="External"/><Relationship Id="rId190" Type="http://schemas.openxmlformats.org/officeDocument/2006/relationships/hyperlink" Target="https://www.youtube.com/channel/UCbx5fVs7tu4mPVhWPeVWaPQ" TargetMode="External"/><Relationship Id="rId191" Type="http://schemas.openxmlformats.org/officeDocument/2006/relationships/hyperlink" Target="https://www.youtube.com/channel/UCVjFGpElZ4an8hUiUUFsqOQ" TargetMode="External"/><Relationship Id="rId192" Type="http://schemas.openxmlformats.org/officeDocument/2006/relationships/hyperlink" Target="https://www.youtube.com/channel/UCB9DLOcuJr1cCcuEylZ23cw" TargetMode="External"/><Relationship Id="rId193" Type="http://schemas.openxmlformats.org/officeDocument/2006/relationships/hyperlink" Target="https://www.youtube.com/channel/UCYXemT3g_NLVbtPOLk3qyPw" TargetMode="External"/><Relationship Id="rId194" Type="http://schemas.openxmlformats.org/officeDocument/2006/relationships/hyperlink" Target="https://www.youtube.com/channel/UC7CSSLTIe_lUa-zAPOSV--A" TargetMode="External"/><Relationship Id="rId195" Type="http://schemas.openxmlformats.org/officeDocument/2006/relationships/hyperlink" Target="https://www.youtube.com/channel/UC7GGymBsRIm8lmQX7Hr6zEA" TargetMode="External"/><Relationship Id="rId196" Type="http://schemas.openxmlformats.org/officeDocument/2006/relationships/hyperlink" Target="https://www.youtube.com/channel/UCSxXs1OCwRtXo4LldPk2EOQ" TargetMode="External"/><Relationship Id="rId197" Type="http://schemas.openxmlformats.org/officeDocument/2006/relationships/hyperlink" Target="https://www.youtube.com/channel/UCXHa9wViTf8hhenoIpU6xwg" TargetMode="External"/><Relationship Id="rId198" Type="http://schemas.openxmlformats.org/officeDocument/2006/relationships/hyperlink" Target="https://www.youtube.com/channel/UCUt_Hk8vkkKbyIjUwtAmyow" TargetMode="External"/><Relationship Id="rId199" Type="http://schemas.openxmlformats.org/officeDocument/2006/relationships/hyperlink" Target="https://www.youtube.com/channel/UCh3gkJ64LpsrGtzNfLXvEWg" TargetMode="External"/><Relationship Id="rId200" Type="http://schemas.openxmlformats.org/officeDocument/2006/relationships/hyperlink" Target="https://www.youtube.com/channel/UCewXKgR29p87NNf7i-vb-nA" TargetMode="External"/><Relationship Id="rId201" Type="http://schemas.openxmlformats.org/officeDocument/2006/relationships/hyperlink" Target="https://www.youtube.com/channel/UCHN6VIQqBvjoG0mDoa1mdEA" TargetMode="External"/><Relationship Id="rId202" Type="http://schemas.openxmlformats.org/officeDocument/2006/relationships/hyperlink" Target="https://www.youtube.com/channel/UC_I6zf_ZJyjFig7UM3sG8Cg" TargetMode="External"/><Relationship Id="rId203" Type="http://schemas.openxmlformats.org/officeDocument/2006/relationships/hyperlink" Target="https://www.youtube.com/channel/UCuH__9-V7L87RcDpAEnv5Wg" TargetMode="External"/><Relationship Id="rId204" Type="http://schemas.openxmlformats.org/officeDocument/2006/relationships/hyperlink" Target="https://www.youtube.com/channel/UCS6zLMadZQpBndRLv0XS9ng" TargetMode="External"/><Relationship Id="rId205" Type="http://schemas.openxmlformats.org/officeDocument/2006/relationships/hyperlink" Target="https://www.youtube.com/channel/UCMIhJkR-9F5XnMRDQUjNcKw" TargetMode="External"/><Relationship Id="rId206" Type="http://schemas.openxmlformats.org/officeDocument/2006/relationships/hyperlink" Target="https://www.youtube.com/channel/UCn_yeD2GdqxX0W6AjHz8-QA" TargetMode="External"/><Relationship Id="rId207" Type="http://schemas.openxmlformats.org/officeDocument/2006/relationships/hyperlink" Target="https://www.youtube.com/channel/UCZCD5Dod9ARKjBT1oi2oIDw" TargetMode="External"/><Relationship Id="rId208" Type="http://schemas.openxmlformats.org/officeDocument/2006/relationships/hyperlink" Target="https://www.youtube.com/channel/UCyqObBgxCK_SzG5Axz6LRyQ" TargetMode="External"/><Relationship Id="rId209" Type="http://schemas.openxmlformats.org/officeDocument/2006/relationships/hyperlink" Target="https://www.youtube.com/channel/UCkaBZYQF_F-1pwiK9WGoTfQ" TargetMode="External"/><Relationship Id="rId210" Type="http://schemas.openxmlformats.org/officeDocument/2006/relationships/hyperlink" Target="https://www.youtube.com/channel/UC0NAWuiHVa3gh_LBsRLcwHw" TargetMode="External"/><Relationship Id="rId211" Type="http://schemas.openxmlformats.org/officeDocument/2006/relationships/hyperlink" Target="https://www.youtube.com/channel/UCsR-iFQjGDFG2c_u_CWeZPQ" TargetMode="External"/><Relationship Id="rId212" Type="http://schemas.openxmlformats.org/officeDocument/2006/relationships/hyperlink" Target="https://www.youtube.com/channel/UC6aTRcVR6d-H80WNzY058Sg" TargetMode="External"/><Relationship Id="rId213" Type="http://schemas.openxmlformats.org/officeDocument/2006/relationships/hyperlink" Target="https://www.youtube.com/channel/UCR-IU5gpyMITYCrK7iEZ4XQ" TargetMode="External"/><Relationship Id="rId214" Type="http://schemas.openxmlformats.org/officeDocument/2006/relationships/hyperlink" Target="https://www.youtube.com/channel/UCX2UZLcFhehvBmLcNGCQsjw" TargetMode="External"/><Relationship Id="rId215" Type="http://schemas.openxmlformats.org/officeDocument/2006/relationships/hyperlink" Target="https://www.youtube.com/channel/UC-Tsr1zsg1AQDEnN3panTFw" TargetMode="External"/><Relationship Id="rId216" Type="http://schemas.openxmlformats.org/officeDocument/2006/relationships/hyperlink" Target="https://www.youtube.com/channel/UCy8y2eME_Lv21Jv-puV4tOg" TargetMode="External"/><Relationship Id="rId217" Type="http://schemas.openxmlformats.org/officeDocument/2006/relationships/hyperlink" Target="https://www.youtube.com/channel/UCDFPa9frR9CfbQpMm57Vzbg" TargetMode="External"/><Relationship Id="rId218" Type="http://schemas.openxmlformats.org/officeDocument/2006/relationships/hyperlink" Target="https://www.youtube.com/channel/UCPTKs2IWDUdDl_pgbb6YBYQ" TargetMode="External"/><Relationship Id="rId219" Type="http://schemas.openxmlformats.org/officeDocument/2006/relationships/hyperlink" Target="https://www.youtube.com/channel/UC0DZj1PNa_Fp0MU6uPSKv5w" TargetMode="External"/><Relationship Id="rId220" Type="http://schemas.openxmlformats.org/officeDocument/2006/relationships/hyperlink" Target="https://www.youtube.com/channel/UCnu84SFythwqhmEto1IQetw" TargetMode="External"/><Relationship Id="rId221" Type="http://schemas.openxmlformats.org/officeDocument/2006/relationships/hyperlink" Target="https://www.youtube.com/channel/UCYuAHgKGdsbFM5AYAQ2lW1g" TargetMode="External"/><Relationship Id="rId222" Type="http://schemas.openxmlformats.org/officeDocument/2006/relationships/hyperlink" Target="https://youtube.com/channel/UCnyV7DjUDPnoHudqwaGn7WQ" TargetMode="External"/><Relationship Id="rId223" Type="http://schemas.openxmlformats.org/officeDocument/2006/relationships/hyperlink" Target="https://www.youtube.com/channel/UCPTNYBCBtpcF6hzuhqlgR4Q" TargetMode="External"/><Relationship Id="rId224" Type="http://schemas.openxmlformats.org/officeDocument/2006/relationships/hyperlink" Target="https://www.youtube.com/channel/UC6_DCl4fmfIArOb8eHelhjw" TargetMode="External"/><Relationship Id="rId225" Type="http://schemas.openxmlformats.org/officeDocument/2006/relationships/hyperlink" Target="https://www.youtube.com/channel/UC3YBHe2Lrt9vhJ24X1RZd9g" TargetMode="External"/><Relationship Id="rId226" Type="http://schemas.openxmlformats.org/officeDocument/2006/relationships/hyperlink" Target="https://www.youtube.com/channel/UCVp8tXGVS5p2tnIdBUfBCQw" TargetMode="External"/><Relationship Id="rId227" Type="http://schemas.openxmlformats.org/officeDocument/2006/relationships/hyperlink" Target="https://www.youtube.com/channel/UCH11tTAwOq0OhP_VLAh0prw" TargetMode="External"/><Relationship Id="rId228" Type="http://schemas.openxmlformats.org/officeDocument/2006/relationships/hyperlink" Target="https://www.youtube.com/channel/UCzHIoLdss_1M_Iw6OxRKKEg" TargetMode="External"/><Relationship Id="rId229" Type="http://schemas.openxmlformats.org/officeDocument/2006/relationships/hyperlink" Target="https://www.youtube.com/channel/UCz6KO_6H1WU2GGB9JX39QGw" TargetMode="External"/><Relationship Id="rId230" Type="http://schemas.openxmlformats.org/officeDocument/2006/relationships/hyperlink" Target="https://www.youtube.com/channel/UCgmoM0ceVCpyNN4WS0XMYlA" TargetMode="External"/><Relationship Id="rId231" Type="http://schemas.openxmlformats.org/officeDocument/2006/relationships/hyperlink" Target="https://www.youtube.com/channel/UCkm_Pf3MqUlh37L3YF_gieA" TargetMode="External"/><Relationship Id="rId232" Type="http://schemas.openxmlformats.org/officeDocument/2006/relationships/hyperlink" Target="https://www.youtube.com/channel/UC9fDkMRPFToD_35cysiV-cA" TargetMode="External"/><Relationship Id="rId233" Type="http://schemas.openxmlformats.org/officeDocument/2006/relationships/hyperlink" Target="https://youtube.com/channel/UCkpE3JFlLBdR4pm_c-gMpGA" TargetMode="External"/><Relationship Id="rId234" Type="http://schemas.openxmlformats.org/officeDocument/2006/relationships/hyperlink" Target="https://www.youtube.com/channel/UCTiMIn2o2LVANeKauC2140A" TargetMode="External"/><Relationship Id="rId235" Type="http://schemas.openxmlformats.org/officeDocument/2006/relationships/hyperlink" Target="https://www.youtube.com/channel/UCzzTBvKovG0G4PGx0I0ygpA" TargetMode="External"/><Relationship Id="rId236" Type="http://schemas.openxmlformats.org/officeDocument/2006/relationships/hyperlink" Target="https://youtube.com/channel/UCWYjT3V8qRkR7Aj6-37bTWw" TargetMode="External"/><Relationship Id="rId237" Type="http://schemas.openxmlformats.org/officeDocument/2006/relationships/hyperlink" Target="https://www.youtube.com/channel/UCvBH0cuT42c89Eie-HrRnuA" TargetMode="External"/><Relationship Id="rId238" Type="http://schemas.openxmlformats.org/officeDocument/2006/relationships/hyperlink" Target="https://www.youtube.com/channel/UCFZ_h_YPm3lRy_Eg4mxqMfA" TargetMode="External"/><Relationship Id="rId239" Type="http://schemas.openxmlformats.org/officeDocument/2006/relationships/hyperlink" Target="https://www.youtube.com/channel/UCSIx0bZM9q6RxXw-rLE8O9Q" TargetMode="External"/><Relationship Id="rId240" Type="http://schemas.openxmlformats.org/officeDocument/2006/relationships/hyperlink" Target="https://youtube.com/channel/UCirdj863cFGXVghh4WhR9fg" TargetMode="External"/><Relationship Id="rId241" Type="http://schemas.openxmlformats.org/officeDocument/2006/relationships/hyperlink" Target="https://www.youtube.com/channel/UCt8uwY2iIoBEO-u6WpQSIpg" TargetMode="External"/><Relationship Id="rId242" Type="http://schemas.openxmlformats.org/officeDocument/2006/relationships/hyperlink" Target="https://www.youtube.com/channel/UCEFuknxOojSTan-93jqNQbw" TargetMode="External"/><Relationship Id="rId243" Type="http://schemas.openxmlformats.org/officeDocument/2006/relationships/hyperlink" Target="https://www.youtube.com/channel/UCmFbPdV0jGPAsw2PxjTxi7Q" TargetMode="External"/><Relationship Id="rId244" Type="http://schemas.openxmlformats.org/officeDocument/2006/relationships/hyperlink" Target="https://www.youtube.com/channel/UCSX5IdkfsBIeO5rdLFD5xCg" TargetMode="External"/><Relationship Id="rId245" Type="http://schemas.openxmlformats.org/officeDocument/2006/relationships/hyperlink" Target="https://www.youtube.com/channel/UC26eZa25HKTy9uYHXf6wRlA" TargetMode="External"/><Relationship Id="rId246" Type="http://schemas.openxmlformats.org/officeDocument/2006/relationships/hyperlink" Target="https://www.youtube.com/channel/UCjWK-CiFx_dxrEWxbkId5Kw" TargetMode="External"/><Relationship Id="rId247" Type="http://schemas.openxmlformats.org/officeDocument/2006/relationships/hyperlink" Target="https://www.youtube.com/channel/UCNkDjEOw0s9atGHkr1ahMxg" TargetMode="External"/><Relationship Id="rId248" Type="http://schemas.openxmlformats.org/officeDocument/2006/relationships/hyperlink" Target="https://www.youtube.com/channel/UCmZypEjXMCc_sNzt2suspEQ" TargetMode="External"/><Relationship Id="rId249" Type="http://schemas.openxmlformats.org/officeDocument/2006/relationships/hyperlink" Target="https://www.youtube.com/channel/UCH0fYAmg-lg8BauZAthSMrg" TargetMode="External"/><Relationship Id="rId250" Type="http://schemas.openxmlformats.org/officeDocument/2006/relationships/hyperlink" Target="https://www.youtube.com/channel/UCf7-PDJ_l7HrH5k7iPgcS1A" TargetMode="External"/><Relationship Id="rId251" Type="http://schemas.openxmlformats.org/officeDocument/2006/relationships/hyperlink" Target="https://www.youtube.com/channel/UCfZ5-NqrrMMz0DM3DM9oYtQ" TargetMode="External"/><Relationship Id="rId252" Type="http://schemas.openxmlformats.org/officeDocument/2006/relationships/hyperlink" Target="https://www.youtube.com/channel/UCDn53CetEoAKvpplsmanCRw" TargetMode="External"/><Relationship Id="rId253" Type="http://schemas.openxmlformats.org/officeDocument/2006/relationships/hyperlink" Target="https://www.youtube.com/channel/UC3LUrgllrr5RldIPagBKK5g" TargetMode="External"/><Relationship Id="rId254" Type="http://schemas.openxmlformats.org/officeDocument/2006/relationships/hyperlink" Target="https://www.youtube.com/channel/UCg6LtJltHCQJrMlUf6hmyMw" TargetMode="External"/><Relationship Id="rId255" Type="http://schemas.openxmlformats.org/officeDocument/2006/relationships/hyperlink" Target="https://youtube.com/channel/UCxqZ-DOxTeXECg-jT-UfMVg" TargetMode="External"/><Relationship Id="rId256" Type="http://schemas.openxmlformats.org/officeDocument/2006/relationships/hyperlink" Target="https://www.youtube.com/channel/UCAacFG-Z5GuE3FXiqoKIZsA" TargetMode="External"/><Relationship Id="rId257" Type="http://schemas.openxmlformats.org/officeDocument/2006/relationships/hyperlink" Target="https://www.youtube.com/channel/UCnnw7U3WKPH05CHPqehf28A" TargetMode="External"/><Relationship Id="rId258" Type="http://schemas.openxmlformats.org/officeDocument/2006/relationships/hyperlink" Target="https://www.youtube.com/channel/UCDLINT0o_8a0kObYN5bBqUw" TargetMode="External"/><Relationship Id="rId259" Type="http://schemas.openxmlformats.org/officeDocument/2006/relationships/hyperlink" Target="https://www.youtube.com/channel/UCooSgBbf3_B2X5ZSQhhUBUw" TargetMode="External"/><Relationship Id="rId260" Type="http://schemas.openxmlformats.org/officeDocument/2006/relationships/hyperlink" Target="https://www.youtube.com/channel/UC8pQF0AUuKVR0J_wPPxmLig" TargetMode="External"/><Relationship Id="rId261" Type="http://schemas.openxmlformats.org/officeDocument/2006/relationships/hyperlink" Target="https://www.youtube.com/channel/UCWhCi2Q0_oXX7rK0_XOtXBQ" TargetMode="External"/><Relationship Id="rId262" Type="http://schemas.openxmlformats.org/officeDocument/2006/relationships/hyperlink" Target="https://www.youtube.com/channel/UCN0iT7xAwbP1OPxAURX5yEg" TargetMode="External"/><Relationship Id="rId263" Type="http://schemas.openxmlformats.org/officeDocument/2006/relationships/hyperlink" Target="https://www.youtube.com/channel/UChcEGagsoreavgb1jmKDhhg" TargetMode="External"/><Relationship Id="rId264" Type="http://schemas.openxmlformats.org/officeDocument/2006/relationships/hyperlink" Target="https://www.youtube.com/channel/UCt98friBmIbx5M7OmsbtQnA" TargetMode="External"/><Relationship Id="rId265" Type="http://schemas.openxmlformats.org/officeDocument/2006/relationships/hyperlink" Target="https://www.youtube.com/channel/UCP35XlisYpNbFichqBtJoow" TargetMode="External"/><Relationship Id="rId266" Type="http://schemas.openxmlformats.org/officeDocument/2006/relationships/hyperlink" Target="https://www.youtube.com/channel/UC8Cp-nFoMwrwqpDxiMEccXA" TargetMode="External"/><Relationship Id="rId267" Type="http://schemas.openxmlformats.org/officeDocument/2006/relationships/hyperlink" Target="https://www.youtube.com/channel/UCoUw4aSWBjeOjHQpEJ9fI6Q" TargetMode="External"/><Relationship Id="rId268" Type="http://schemas.openxmlformats.org/officeDocument/2006/relationships/hyperlink" Target="https://www.youtube.com/channel/UCcdDEmIIb0evR08JWrm7YNA" TargetMode="External"/><Relationship Id="rId269" Type="http://schemas.openxmlformats.org/officeDocument/2006/relationships/hyperlink" Target="https://www.youtube.com/channel/UCpePS6g1LeofFevgioDVVVQ" TargetMode="External"/><Relationship Id="rId270" Type="http://schemas.openxmlformats.org/officeDocument/2006/relationships/hyperlink" Target="https://www.youtube.com/channel/UCVp5SACAQPe6phRHmBouMoQ" TargetMode="External"/><Relationship Id="rId271" Type="http://schemas.openxmlformats.org/officeDocument/2006/relationships/hyperlink" Target="https://www.youtube.com/channel/UCH6T4AVydSJMHuSOErAVHRw" TargetMode="External"/><Relationship Id="rId272" Type="http://schemas.openxmlformats.org/officeDocument/2006/relationships/hyperlink" Target="https://www.youtube.com/channel/UC3kM7WxZJTYGgE1VnUusDig" TargetMode="External"/><Relationship Id="rId273" Type="http://schemas.openxmlformats.org/officeDocument/2006/relationships/hyperlink" Target="https://youtube.com/channel/UC85__CcVHBMokq42UB5-8Rw" TargetMode="External"/><Relationship Id="rId274" Type="http://schemas.openxmlformats.org/officeDocument/2006/relationships/hyperlink" Target="https://www.youtube.com/channel/UCgX8MCa2ZIaTe15L-mfIx0Q" TargetMode="External"/><Relationship Id="rId275" Type="http://schemas.openxmlformats.org/officeDocument/2006/relationships/hyperlink" Target="https://www.youtube.com/channel/UC7nz-hzvLqdOX54iDLHlJ9Q" TargetMode="External"/><Relationship Id="rId276" Type="http://schemas.openxmlformats.org/officeDocument/2006/relationships/hyperlink" Target="https://www.youtube.com/channel/UClTbb63JXHyisnnInLubkCg" TargetMode="External"/><Relationship Id="rId277" Type="http://schemas.openxmlformats.org/officeDocument/2006/relationships/hyperlink" Target="https://www.youtube.com/channel/UC1KRX-KD09XCwYHrlM2IvEQ" TargetMode="External"/><Relationship Id="rId278" Type="http://schemas.openxmlformats.org/officeDocument/2006/relationships/hyperlink" Target="https://www.youtube.com/channel/UCx0-dQHtwz-dp1erskHXO8g" TargetMode="External"/><Relationship Id="rId279" Type="http://schemas.openxmlformats.org/officeDocument/2006/relationships/hyperlink" Target="https://www.youtube.com/channel/UC6DG7nvcDtGLGI4g4hm02AQ" TargetMode="External"/><Relationship Id="rId280" Type="http://schemas.openxmlformats.org/officeDocument/2006/relationships/hyperlink" Target="https://www.youtube.com/channel/UCOxwdXg68EXOyfSodSWKk8w" TargetMode="External"/><Relationship Id="rId281" Type="http://schemas.openxmlformats.org/officeDocument/2006/relationships/hyperlink" Target="https://youtube.com/channel/UCsJ1ZZ9-YfVMmBA5sQTQrZA" TargetMode="External"/><Relationship Id="rId282" Type="http://schemas.openxmlformats.org/officeDocument/2006/relationships/hyperlink" Target="https://www.youtube.com/channel/UCntnmZ_6XgltSEfmE_wyTow" TargetMode="External"/><Relationship Id="rId283" Type="http://schemas.openxmlformats.org/officeDocument/2006/relationships/hyperlink" Target="https://www.youtube.com/channel/UCues_bciVALboJxsbbEWn1A" TargetMode="External"/><Relationship Id="rId284" Type="http://schemas.openxmlformats.org/officeDocument/2006/relationships/hyperlink" Target="https://www.youtube.com/channel/UChDhhvt_EFred4AJYhFM6Jg" TargetMode="External"/><Relationship Id="rId285" Type="http://schemas.openxmlformats.org/officeDocument/2006/relationships/hyperlink" Target="https://www.youtube.com/channel/UCdHNugzpn3Jia7rWrqZfBPA" TargetMode="External"/><Relationship Id="rId286" Type="http://schemas.openxmlformats.org/officeDocument/2006/relationships/hyperlink" Target="https://www.youtube.com/channel/UChtokO5JwPJhvCxwDedqAxw" TargetMode="External"/><Relationship Id="rId287" Type="http://schemas.openxmlformats.org/officeDocument/2006/relationships/hyperlink" Target="https://www.youtube.com/channel/UCY-irETA7i1cuKPg2_XNTyg" TargetMode="External"/><Relationship Id="rId288" Type="http://schemas.openxmlformats.org/officeDocument/2006/relationships/hyperlink" Target="https://www.youtube.com/channel/UCL9dJYOmkZe_1_3ET-YEdcQ" TargetMode="External"/><Relationship Id="rId289" Type="http://schemas.openxmlformats.org/officeDocument/2006/relationships/hyperlink" Target="https://www.youtube.com/channel/UC6AwWrRKNrwt83CMJqeTUzw" TargetMode="External"/><Relationship Id="rId290" Type="http://schemas.openxmlformats.org/officeDocument/2006/relationships/hyperlink" Target="https://www.youtube.com/channel/UCFP0PWI3XqSldfylvGhx_sA" TargetMode="External"/><Relationship Id="rId291" Type="http://schemas.openxmlformats.org/officeDocument/2006/relationships/hyperlink" Target="https://www.youtube.com/channel/UCRnjIZrmC5Iz4HOhob-ftlw" TargetMode="External"/><Relationship Id="rId292" Type="http://schemas.openxmlformats.org/officeDocument/2006/relationships/hyperlink" Target="https://www.youtube.com/channel/UCPm_EfDcCIg5obOLqcgb8IA" TargetMode="External"/><Relationship Id="rId293" Type="http://schemas.openxmlformats.org/officeDocument/2006/relationships/hyperlink" Target="https://www.youtube.com/channel/UCqVqy6zHc3Eu2x4QLG8cZaw" TargetMode="External"/><Relationship Id="rId294" Type="http://schemas.openxmlformats.org/officeDocument/2006/relationships/hyperlink" Target="https://www.youtube.com/channel/UCj-dHuCjlpgtyrH9UPVvosQ" TargetMode="External"/><Relationship Id="rId295" Type="http://schemas.openxmlformats.org/officeDocument/2006/relationships/hyperlink" Target="https://www.youtube.com/channel/UCDQBICj2PnB00OuytvO9S1Q" TargetMode="External"/><Relationship Id="rId296" Type="http://schemas.openxmlformats.org/officeDocument/2006/relationships/hyperlink" Target="https://www.youtube.com/channel/UC0w1d6Hny6WWtrq8nASNKSA" TargetMode="External"/><Relationship Id="rId297" Type="http://schemas.openxmlformats.org/officeDocument/2006/relationships/hyperlink" Target="https://www.youtube.com/channel/UCS-m03NzS2bjaVIMvohuipA" TargetMode="External"/><Relationship Id="rId298" Type="http://schemas.openxmlformats.org/officeDocument/2006/relationships/hyperlink" Target="https://www.youtube.com/channel/UC39F32yY4t7MwaNS2j3fq7w" TargetMode="External"/><Relationship Id="rId299" Type="http://schemas.openxmlformats.org/officeDocument/2006/relationships/hyperlink" Target="https://www.youtube.com/channel/UCj-dx-NVdx6-QTzuIi4n1Xg" TargetMode="External"/><Relationship Id="rId300" Type="http://schemas.openxmlformats.org/officeDocument/2006/relationships/hyperlink" Target="https://www.youtube.com/channel/UCky--UO-wyvpDwEqnnEq1nQ" TargetMode="External"/><Relationship Id="rId301" Type="http://schemas.openxmlformats.org/officeDocument/2006/relationships/hyperlink" Target="https://www.youtube.com/channel/UC_tAGAjO1FIyPAlDvjcCqDQ" TargetMode="External"/><Relationship Id="rId302" Type="http://schemas.openxmlformats.org/officeDocument/2006/relationships/hyperlink" Target="https://www.youtube.com/channel/UCarXFX9T-6num0ZF3eM1boA" TargetMode="External"/><Relationship Id="rId303" Type="http://schemas.openxmlformats.org/officeDocument/2006/relationships/hyperlink" Target="https://www.youtube.com/channel/UCyRLsq95quO43JKkRl1cTwQ" TargetMode="External"/><Relationship Id="rId304" Type="http://schemas.openxmlformats.org/officeDocument/2006/relationships/hyperlink" Target="https://www.youtube.com/channel/UClM9CchSEQ6cxNoatTKc9hA" TargetMode="External"/><Relationship Id="rId305" Type="http://schemas.openxmlformats.org/officeDocument/2006/relationships/hyperlink" Target="https://www.youtube.com/channel/UCcWtWryYdHHiNWfZGSROl1A" TargetMode="External"/><Relationship Id="rId306" Type="http://schemas.openxmlformats.org/officeDocument/2006/relationships/hyperlink" Target="https://www.youtube.com/channel/UC2D_6uq9iIlGaj2b0PmIdTA" TargetMode="External"/><Relationship Id="rId307" Type="http://schemas.openxmlformats.org/officeDocument/2006/relationships/hyperlink" Target="https://www.youtube.com/channel/UCl4ypHhpbrXnaPo9uel5mLQ" TargetMode="External"/><Relationship Id="rId308" Type="http://schemas.openxmlformats.org/officeDocument/2006/relationships/hyperlink" Target="https://www.youtube.com/channel/UCB3_vupthRRlVBsuoTGAakA" TargetMode="External"/><Relationship Id="rId309" Type="http://schemas.openxmlformats.org/officeDocument/2006/relationships/hyperlink" Target="https://www.youtube.com/channel/UC93DGRH41IJfn_zzqcapcwA" TargetMode="External"/><Relationship Id="rId310" Type="http://schemas.openxmlformats.org/officeDocument/2006/relationships/hyperlink" Target="https://www.youtube.com/channel/UCjLyYxcDomwU4_-imdNG1ug" TargetMode="External"/><Relationship Id="rId311" Type="http://schemas.openxmlformats.org/officeDocument/2006/relationships/hyperlink" Target="https://www.youtube.com/channel/UCJvJgbXfXjzPX_BTJAZs6cA" TargetMode="External"/><Relationship Id="rId312" Type="http://schemas.openxmlformats.org/officeDocument/2006/relationships/hyperlink" Target="https://www.youtube.com/channel/UCLFsfTrtNAEre0XLPMwpQHw" TargetMode="External"/><Relationship Id="rId313" Type="http://schemas.openxmlformats.org/officeDocument/2006/relationships/hyperlink" Target="https://www.youtube.com/channel/UC-ugHAGayfrqFIe3MzpCXzA" TargetMode="External"/><Relationship Id="rId314" Type="http://schemas.openxmlformats.org/officeDocument/2006/relationships/hyperlink" Target="https://www.youtube.com/channel/UCMrvKDTb2p7wH5gafbDiWWg" TargetMode="External"/><Relationship Id="rId315" Type="http://schemas.openxmlformats.org/officeDocument/2006/relationships/hyperlink" Target="https://www.youtube.com/channel/UCPbCDRURBi81hCpyDs2Oxgg" TargetMode="External"/><Relationship Id="rId316" Type="http://schemas.openxmlformats.org/officeDocument/2006/relationships/hyperlink" Target="https://www.youtube.com/channel/UC5W8X6X11-uiD1_8BPIqWwg" TargetMode="External"/><Relationship Id="rId317" Type="http://schemas.openxmlformats.org/officeDocument/2006/relationships/hyperlink" Target="https://www.youtube.com/channel/UC99iufw6eTSs15qMreGYt4A" TargetMode="External"/><Relationship Id="rId318" Type="http://schemas.openxmlformats.org/officeDocument/2006/relationships/hyperlink" Target="https://www.youtube.com/channel/UCmlc6ENWAq9Dxv_rR81eliQ" TargetMode="External"/><Relationship Id="rId319" Type="http://schemas.openxmlformats.org/officeDocument/2006/relationships/hyperlink" Target="https://www.youtube.com/channel/UCh0CBgDE49V88YG61HcTlBg" TargetMode="External"/><Relationship Id="rId320" Type="http://schemas.openxmlformats.org/officeDocument/2006/relationships/hyperlink" Target="https://www.youtube.com/channel/UCqxa0Z4MgAljpubkM2mp5TA" TargetMode="External"/><Relationship Id="rId321" Type="http://schemas.openxmlformats.org/officeDocument/2006/relationships/hyperlink" Target="https://www.youtube.com/channel/UCePjmj8ikoLqknc8bF0YP4A" TargetMode="External"/><Relationship Id="rId322" Type="http://schemas.openxmlformats.org/officeDocument/2006/relationships/hyperlink" Target="https://www.youtube.com/channel/UCxHicLnOMDVxqMkNq7njfYQ" TargetMode="External"/><Relationship Id="rId323" Type="http://schemas.openxmlformats.org/officeDocument/2006/relationships/hyperlink" Target="https://www.youtube.com/channel/UCgJDduibmpWFYBA1Op7T98Q" TargetMode="External"/><Relationship Id="rId324" Type="http://schemas.openxmlformats.org/officeDocument/2006/relationships/hyperlink" Target="https://www.youtube.com/channel/UC8S1LAzRjvTE73nnvxllkig" TargetMode="External"/><Relationship Id="rId325" Type="http://schemas.openxmlformats.org/officeDocument/2006/relationships/hyperlink" Target="https://www.youtube.com/channel/UCivBeuVuM6G6HgJDdZpt9UQ" TargetMode="External"/><Relationship Id="rId326" Type="http://schemas.openxmlformats.org/officeDocument/2006/relationships/hyperlink" Target="https://youtube.com/channel/UC5JvwDJqr-N87_-lIuzRlZA" TargetMode="External"/><Relationship Id="rId327" Type="http://schemas.openxmlformats.org/officeDocument/2006/relationships/hyperlink" Target="https://www.youtube.com/channel/UCdRb22zahTtJgWjyM_ofR9g" TargetMode="External"/><Relationship Id="rId328" Type="http://schemas.openxmlformats.org/officeDocument/2006/relationships/hyperlink" Target="https://www.youtube.com/channel/UCERtcaJkwEKYa3w9309fDew" TargetMode="External"/><Relationship Id="rId329" Type="http://schemas.openxmlformats.org/officeDocument/2006/relationships/hyperlink" Target="https://www.youtube.com/channel/UCQiq0KNZKEXPgNy-pbqRDBw" TargetMode="External"/><Relationship Id="rId330" Type="http://schemas.openxmlformats.org/officeDocument/2006/relationships/hyperlink" Target="https://www.youtube.com/channel/UChy3kkOvJ3tizQJKPhdOGOA" TargetMode="External"/><Relationship Id="rId331" Type="http://schemas.openxmlformats.org/officeDocument/2006/relationships/hyperlink" Target="https://www.youtube.com/channel/UCD0lXF319it_QtWZ8qeOtAg" TargetMode="External"/><Relationship Id="rId332" Type="http://schemas.openxmlformats.org/officeDocument/2006/relationships/hyperlink" Target="https://www.youtube.com/channel/UCY69rHFoaz7dJuIPAQrwHCg" TargetMode="External"/><Relationship Id="rId333" Type="http://schemas.openxmlformats.org/officeDocument/2006/relationships/hyperlink" Target="https://www.youtube.com/channel/UCyVI5PMOhkwgX0j_vnC-YqA" TargetMode="External"/><Relationship Id="rId334" Type="http://schemas.openxmlformats.org/officeDocument/2006/relationships/hyperlink" Target="https://www.youtube.com/channel/UClwJ575CuTWKmohD4qiSOnQ" TargetMode="External"/><Relationship Id="rId335" Type="http://schemas.openxmlformats.org/officeDocument/2006/relationships/hyperlink" Target="https://www.youtube.com/channel/UC7C_dBPreFZA-kemHa8fl_g" TargetMode="External"/><Relationship Id="rId336" Type="http://schemas.openxmlformats.org/officeDocument/2006/relationships/hyperlink" Target="https://www.youtube.com/channel/UCcpSvnSLfGFzn4NDEieWyYw" TargetMode="External"/><Relationship Id="rId337" Type="http://schemas.openxmlformats.org/officeDocument/2006/relationships/hyperlink" Target="https://www.youtube.com/channel/UC_LOxVHMyld-qezuGo6UMbA" TargetMode="External"/><Relationship Id="rId338" Type="http://schemas.openxmlformats.org/officeDocument/2006/relationships/hyperlink" Target="https://www.youtube.com/channel/UCyDozT0WBmUGcrgBZkEj87A" TargetMode="External"/><Relationship Id="rId339" Type="http://schemas.openxmlformats.org/officeDocument/2006/relationships/hyperlink" Target="https://www.youtube.com/channel/UCI3-CAxeAm19u449uTcTzMw" TargetMode="External"/><Relationship Id="rId340" Type="http://schemas.openxmlformats.org/officeDocument/2006/relationships/hyperlink" Target="https://www.youtube.com/channel/UCTM4nNDY7AYgBMP2YLcq6nA" TargetMode="External"/><Relationship Id="rId341" Type="http://schemas.openxmlformats.org/officeDocument/2006/relationships/hyperlink" Target="https://www.youtube.com/channel/UC_BgctfClYCIYyUnTng9Tqw" TargetMode="External"/><Relationship Id="rId342" Type="http://schemas.openxmlformats.org/officeDocument/2006/relationships/hyperlink" Target="https://youtube.com/channel/UCzmI7w37SMQYrCfrQavvf4A" TargetMode="External"/><Relationship Id="rId343" Type="http://schemas.openxmlformats.org/officeDocument/2006/relationships/hyperlink" Target="https://www.youtube.com/channel/UCv2sL-VAAMN8piWatCR_SdA" TargetMode="External"/><Relationship Id="rId344" Type="http://schemas.openxmlformats.org/officeDocument/2006/relationships/hyperlink" Target="https://www.youtube.com/channel/UCKlPR4LessoPYlq1RCGJD6g" TargetMode="External"/><Relationship Id="rId345" Type="http://schemas.openxmlformats.org/officeDocument/2006/relationships/hyperlink" Target="https://www.youtube.com/channel/UC63zODnIuIjt8ePZfbk0HRg" TargetMode="External"/><Relationship Id="rId346" Type="http://schemas.openxmlformats.org/officeDocument/2006/relationships/hyperlink" Target="https://www.youtube.com/channel/UCxshRXQ6E15YnJcaY3v5u0w" TargetMode="External"/><Relationship Id="rId347" Type="http://schemas.openxmlformats.org/officeDocument/2006/relationships/hyperlink" Target="https://www.youtube.com/channel/UC2tk8wmaz2Oc4SAwEkcRH_A" TargetMode="External"/><Relationship Id="rId348" Type="http://schemas.openxmlformats.org/officeDocument/2006/relationships/hyperlink" Target="https://www.youtube.com/channel/UC01n2ZuiZNXcjz6khHe0OsA" TargetMode="External"/><Relationship Id="rId349" Type="http://schemas.openxmlformats.org/officeDocument/2006/relationships/hyperlink" Target="https://www.youtube.com/channel/UCV7-Pko7oD-q4mFOSBpqcFg" TargetMode="External"/><Relationship Id="rId350" Type="http://schemas.openxmlformats.org/officeDocument/2006/relationships/hyperlink" Target="https://www.youtube.com/channel/UC6RuO463CgqRjhQExlfnftA" TargetMode="External"/><Relationship Id="rId351" Type="http://schemas.openxmlformats.org/officeDocument/2006/relationships/hyperlink" Target="https://www.youtube.com/channel/UCQ5imaHcujp1h98CGpLE9sA" TargetMode="External"/><Relationship Id="rId352" Type="http://schemas.openxmlformats.org/officeDocument/2006/relationships/hyperlink" Target="https://www.youtube.com/channel/UCCKg6HuOa9a05SeK6fsSDyQ" TargetMode="External"/><Relationship Id="rId353" Type="http://schemas.openxmlformats.org/officeDocument/2006/relationships/hyperlink" Target="https://www.youtube.com/channel/UCoIm2AE9B4fcRH3o5K5yA_A" TargetMode="External"/><Relationship Id="rId354" Type="http://schemas.openxmlformats.org/officeDocument/2006/relationships/hyperlink" Target="https://youtube.com/channel/UCX4rrUiAdJsknnbCTio9m8g" TargetMode="External"/><Relationship Id="rId355" Type="http://schemas.openxmlformats.org/officeDocument/2006/relationships/hyperlink" Target="https://www.youtube.com/channel/UCPc58CXcfhJClhYJXdQZdrQ" TargetMode="External"/><Relationship Id="rId356" Type="http://schemas.openxmlformats.org/officeDocument/2006/relationships/hyperlink" Target="https://www.youtube.com/channel/UC6JeZO393oXPvSyqdTzalGA" TargetMode="External"/><Relationship Id="rId357" Type="http://schemas.openxmlformats.org/officeDocument/2006/relationships/hyperlink" Target="https://www.youtube.com/channel/UCxjXq-2AJfhsIuEuyGvgaHQ" TargetMode="External"/><Relationship Id="rId358" Type="http://schemas.openxmlformats.org/officeDocument/2006/relationships/hyperlink" Target="https://www.youtube.com/channel/UCwEntErZ8CAWoLXWzD-J7CQ" TargetMode="External"/><Relationship Id="rId359" Type="http://schemas.openxmlformats.org/officeDocument/2006/relationships/hyperlink" Target="https://www.youtube.com/channel/UC-_Rfe8ANW-rQGr86PVNO0g" TargetMode="External"/><Relationship Id="rId360" Type="http://schemas.openxmlformats.org/officeDocument/2006/relationships/hyperlink" Target="https://www.youtube.com/channel/UCNc9SxLT728ABE3bdshqhZg" TargetMode="External"/><Relationship Id="rId361" Type="http://schemas.openxmlformats.org/officeDocument/2006/relationships/hyperlink" Target="https://www.youtube.com/channel/UCipNk-sUgJH-8U36TeK0Qbw" TargetMode="External"/><Relationship Id="rId362" Type="http://schemas.openxmlformats.org/officeDocument/2006/relationships/hyperlink" Target="https://www.youtube.com/channel/UCr6OtNFpGTcBVJRECEaR4PA" TargetMode="External"/><Relationship Id="rId363" Type="http://schemas.openxmlformats.org/officeDocument/2006/relationships/hyperlink" Target="https://www.youtube.com/channel/UC6Ge-C2YlWmnsF6d1B-yrQA" TargetMode="External"/><Relationship Id="rId364" Type="http://schemas.openxmlformats.org/officeDocument/2006/relationships/hyperlink" Target="https://youtube.com/channel/UCWaQXsyTADkni3WVXonBWTg" TargetMode="External"/><Relationship Id="rId365" Type="http://schemas.openxmlformats.org/officeDocument/2006/relationships/hyperlink" Target="https://www.youtube.com/channel/UC42IA-4n2NZvR3OrJvTxRGQ" TargetMode="External"/><Relationship Id="rId366" Type="http://schemas.openxmlformats.org/officeDocument/2006/relationships/hyperlink" Target="https://youtube.com/channel/UCE_JoctW4k-RDCwh2V0l7Bg" TargetMode="External"/><Relationship Id="rId367" Type="http://schemas.openxmlformats.org/officeDocument/2006/relationships/hyperlink" Target="https://www.youtube.com/channel/UCO3x8Tslu-w8GjjcA1Ke-RA" TargetMode="External"/><Relationship Id="rId368" Type="http://schemas.openxmlformats.org/officeDocument/2006/relationships/hyperlink" Target="https://www.youtube.com/channel/UCAkctv-ZsQ8ZmUyGelrL8yQ" TargetMode="External"/><Relationship Id="rId369" Type="http://schemas.openxmlformats.org/officeDocument/2006/relationships/hyperlink" Target="https://www.youtube.com/channel/UCGbQ8qGKFCVt3ibGNZWM2YA" TargetMode="External"/><Relationship Id="rId370" Type="http://schemas.openxmlformats.org/officeDocument/2006/relationships/hyperlink" Target="https://www.youtube.com/channel/UCupBJ4UXXCnPmPrGiuOMQlw" TargetMode="External"/><Relationship Id="rId371" Type="http://schemas.openxmlformats.org/officeDocument/2006/relationships/hyperlink" Target="https://www.youtube.com/channel/UCKJyobSA5rI3JHbqAlB10Cg" TargetMode="External"/><Relationship Id="rId372" Type="http://schemas.openxmlformats.org/officeDocument/2006/relationships/hyperlink" Target="https://www.youtube.com/channel/UCmZkIfh9dr9434fuWfv_5RA" TargetMode="External"/><Relationship Id="rId373" Type="http://schemas.openxmlformats.org/officeDocument/2006/relationships/hyperlink" Target="https://www.youtube.com/channel/UCHN1Bey32UXz1tTVjBwi3Mw" TargetMode="External"/><Relationship Id="rId374" Type="http://schemas.openxmlformats.org/officeDocument/2006/relationships/hyperlink" Target="https://www.youtube.com/channel/UCZfCqKLUa1kqdvPm3r-MRGA" TargetMode="External"/><Relationship Id="rId375" Type="http://schemas.openxmlformats.org/officeDocument/2006/relationships/hyperlink" Target="https://www.youtube.com/channel/UC6TfiYzK_mhHQMl686WFiig" TargetMode="External"/><Relationship Id="rId376" Type="http://schemas.openxmlformats.org/officeDocument/2006/relationships/hyperlink" Target="https://www.youtube.com/channel/UCSOl_iT3qrwcsfXuMpFd_1w" TargetMode="External"/><Relationship Id="rId377" Type="http://schemas.openxmlformats.org/officeDocument/2006/relationships/hyperlink" Target="https://youtube.com/channel/UCJfK1Z5E8CZWmp_3wQJewaQ" TargetMode="External"/><Relationship Id="rId378" Type="http://schemas.openxmlformats.org/officeDocument/2006/relationships/hyperlink" Target="https://youtube.com/channel/UCMmprKkrzaXK0ElqdPEorRQ" TargetMode="External"/><Relationship Id="rId379" Type="http://schemas.openxmlformats.org/officeDocument/2006/relationships/hyperlink" Target="https://youtube.com/channel/UCk1k4q8SKlLOBLialH65jrQ" TargetMode="External"/><Relationship Id="rId380" Type="http://schemas.openxmlformats.org/officeDocument/2006/relationships/hyperlink" Target="https://www.youtube.com/channel/UCVApgS4qZ74_7FbXTin3UZw" TargetMode="External"/><Relationship Id="rId381" Type="http://schemas.openxmlformats.org/officeDocument/2006/relationships/hyperlink" Target="https://www.youtube.com/channel/UCmB3GUOOlU2Ab6K1J9_k2EQ" TargetMode="External"/><Relationship Id="rId382" Type="http://schemas.openxmlformats.org/officeDocument/2006/relationships/hyperlink" Target="https://www.youtube.com/channel/UC53wkzZ3aXyeH9-eIgi17WA" TargetMode="External"/><Relationship Id="rId383" Type="http://schemas.openxmlformats.org/officeDocument/2006/relationships/hyperlink" Target="https://www.youtube.com/channel/UCG2AylsfKJ0-_RhsgZQE_Ag" TargetMode="External"/><Relationship Id="rId384" Type="http://schemas.openxmlformats.org/officeDocument/2006/relationships/hyperlink" Target="https://www.youtube.com/channel/UCjDmAb7nSDZ26DWsuJxmlaA" TargetMode="External"/><Relationship Id="rId385" Type="http://schemas.openxmlformats.org/officeDocument/2006/relationships/hyperlink" Target="https://www.youtube.com/channel/UChv8Mnq3g2iqsvkcg7j0AmA" TargetMode="External"/><Relationship Id="rId386" Type="http://schemas.openxmlformats.org/officeDocument/2006/relationships/hyperlink" Target="https://www.youtube.com/channel/UCFsZUvh6TYsvxQELgXwqTJg" TargetMode="External"/><Relationship Id="rId387" Type="http://schemas.openxmlformats.org/officeDocument/2006/relationships/hyperlink" Target="https://www.youtube.com/channel/UCiTdhuJ4XiivIyZ4kDm75ZA" TargetMode="External"/><Relationship Id="rId388" Type="http://schemas.openxmlformats.org/officeDocument/2006/relationships/hyperlink" Target="https://www.youtube.com/channel/UC4xatswWsvs81cQSnDrJqsA" TargetMode="External"/><Relationship Id="rId389" Type="http://schemas.openxmlformats.org/officeDocument/2006/relationships/hyperlink" Target="https://www.youtube.com/channel/UCOtpb0Wn8fqfx7qkeXtlgyw" TargetMode="External"/><Relationship Id="rId390" Type="http://schemas.openxmlformats.org/officeDocument/2006/relationships/hyperlink" Target="https://www.youtube.com/channel/UCfqDZNXWTnT_p-pqGCQkWng" TargetMode="External"/><Relationship Id="rId391" Type="http://schemas.openxmlformats.org/officeDocument/2006/relationships/hyperlink" Target="https://www.youtube.com/channel/UC32FF_oUYob2e4sdT82JDeA" TargetMode="External"/><Relationship Id="rId392" Type="http://schemas.openxmlformats.org/officeDocument/2006/relationships/hyperlink" Target="https://www.youtube.com/channel/UCYvgxe4pS3f4JTJyD93hg4Q" TargetMode="External"/><Relationship Id="rId393" Type="http://schemas.openxmlformats.org/officeDocument/2006/relationships/hyperlink" Target="https://www.youtube.com/channel/UCgisVeFPK-ni5wG9kFiejnw" TargetMode="External"/><Relationship Id="rId394" Type="http://schemas.openxmlformats.org/officeDocument/2006/relationships/hyperlink" Target="https://www.youtube.com/channel/UCLPq1JQKQwCD8zBpo-qVdjA" TargetMode="External"/><Relationship Id="rId395" Type="http://schemas.openxmlformats.org/officeDocument/2006/relationships/hyperlink" Target="https://www.youtube.com/channel/UCGIqJfjrs6erd_uVNlJR1yg" TargetMode="External"/><Relationship Id="rId396" Type="http://schemas.openxmlformats.org/officeDocument/2006/relationships/hyperlink" Target="https://www.youtube.com/channel/UCvrpitoPwr32TZEJos_e6yQ" TargetMode="External"/><Relationship Id="rId397" Type="http://schemas.openxmlformats.org/officeDocument/2006/relationships/hyperlink" Target="https://www.youtube.com/channel/UCkpHztgvCbG6R77eViUcaVg" TargetMode="External"/><Relationship Id="rId398" Type="http://schemas.openxmlformats.org/officeDocument/2006/relationships/hyperlink" Target="https://youtube.com/channel/UCDN2zoz1K0y8HB6M6r8SYIw" TargetMode="External"/><Relationship Id="rId399" Type="http://schemas.openxmlformats.org/officeDocument/2006/relationships/hyperlink" Target="https://www.youtube.com/channel/UCjXtWp_jdnKAY2VJ1RDdUTg" TargetMode="External"/><Relationship Id="rId400" Type="http://schemas.openxmlformats.org/officeDocument/2006/relationships/hyperlink" Target="https://youtube.com/channel/UCUWhtcHs3iMl2_U6QITJBpw" TargetMode="External"/><Relationship Id="rId401" Type="http://schemas.openxmlformats.org/officeDocument/2006/relationships/hyperlink" Target="https://www.youtube.com/channel/UCplEiTs1aYx0_gSP0yzQ9BA" TargetMode="External"/><Relationship Id="rId402" Type="http://schemas.openxmlformats.org/officeDocument/2006/relationships/hyperlink" Target="https://www.youtube.com/channel/UCvzhHLoj4tOyzHXSJXdhPFg" TargetMode="External"/><Relationship Id="rId403" Type="http://schemas.openxmlformats.org/officeDocument/2006/relationships/hyperlink" Target="https://www.youtube.com/channel/UC_0VlBJao05MJFwCT0DITvQ" TargetMode="External"/><Relationship Id="rId404" Type="http://schemas.openxmlformats.org/officeDocument/2006/relationships/hyperlink" Target="https://www.youtube.com/channel/UCgI6KHrFb3E24IjVcXvsJ8g" TargetMode="External"/><Relationship Id="rId405" Type="http://schemas.openxmlformats.org/officeDocument/2006/relationships/hyperlink" Target="https://www.youtube.com/channel/UCuzGGKdz8w5hurrM7_5tJzg" TargetMode="External"/><Relationship Id="rId406" Type="http://schemas.openxmlformats.org/officeDocument/2006/relationships/hyperlink" Target="https://www.youtube.com/channel/UCy85tC4HJjcjHKeL4sszAKg" TargetMode="External"/><Relationship Id="rId407" Type="http://schemas.openxmlformats.org/officeDocument/2006/relationships/hyperlink" Target="https://www.youtube.com/channel/UCsy0WXSl5le9tBMcPNo0CFQ" TargetMode="External"/><Relationship Id="rId408" Type="http://schemas.openxmlformats.org/officeDocument/2006/relationships/hyperlink" Target="https://www.youtube.com/channel/UCpX2oilF0FsGepWX06yWzgg" TargetMode="External"/><Relationship Id="rId409" Type="http://schemas.openxmlformats.org/officeDocument/2006/relationships/hyperlink" Target="https://www.youtube.com/channel/UCdqfGqbWbKthWNsl9AkwJGg" TargetMode="External"/><Relationship Id="rId410" Type="http://schemas.openxmlformats.org/officeDocument/2006/relationships/hyperlink" Target="https://www.youtube.com/channel/UCLLJ-cfoTknt4Qfx2gdio4Q" TargetMode="External"/><Relationship Id="rId411" Type="http://schemas.openxmlformats.org/officeDocument/2006/relationships/hyperlink" Target="https://www.youtube.com/channel/UC8ubJ_yrY-mY8fZ4ehF3qrQ" TargetMode="External"/><Relationship Id="rId412" Type="http://schemas.openxmlformats.org/officeDocument/2006/relationships/hyperlink" Target="https://www.youtube.com/channel/UCDSz_2pOM3TiHd9lsz-9zNA" TargetMode="External"/><Relationship Id="rId413" Type="http://schemas.openxmlformats.org/officeDocument/2006/relationships/hyperlink" Target="https://www.youtube.com/channel/UCW8QmF5RVGn-hd9YTh0LZhQ" TargetMode="External"/><Relationship Id="rId414" Type="http://schemas.openxmlformats.org/officeDocument/2006/relationships/hyperlink" Target="https://www.youtube.com/channel/UCD-WtXcqPrrlBpZxSNp1ukg" TargetMode="External"/><Relationship Id="rId415" Type="http://schemas.openxmlformats.org/officeDocument/2006/relationships/hyperlink" Target="https://www.youtube.com/channel/UCDAfjlAEokXGXblAWWlPxXQ" TargetMode="External"/><Relationship Id="rId416" Type="http://schemas.openxmlformats.org/officeDocument/2006/relationships/hyperlink" Target="https://www.youtube.com/channel/UCIAawn4lKj1DEkF7p3V0rMw" TargetMode="External"/><Relationship Id="rId417" Type="http://schemas.openxmlformats.org/officeDocument/2006/relationships/hyperlink" Target="https://www.youtube.com/channel/UCqqZ-EI8z-LS4l1SnsglqhA" TargetMode="External"/><Relationship Id="rId418" Type="http://schemas.openxmlformats.org/officeDocument/2006/relationships/hyperlink" Target="https://www.youtube.com/channel/UCRwdQaWvpUJ2u573ME0Cyrw" TargetMode="External"/><Relationship Id="rId419" Type="http://schemas.openxmlformats.org/officeDocument/2006/relationships/hyperlink" Target="https://www.youtube.com/channel/UCgAWvpAyfn6jcGKPY3p5nEg" TargetMode="External"/><Relationship Id="rId420" Type="http://schemas.openxmlformats.org/officeDocument/2006/relationships/hyperlink" Target="https://www.youtube.com/channel/UCZMA7FncOdnfye60G4wqafg" TargetMode="External"/><Relationship Id="rId421" Type="http://schemas.openxmlformats.org/officeDocument/2006/relationships/hyperlink" Target="https://www.youtube.com/channel/UCA7UYfa7U5AnOqyJkM0wOPA" TargetMode="External"/><Relationship Id="rId422" Type="http://schemas.openxmlformats.org/officeDocument/2006/relationships/hyperlink" Target="https://www.youtube.com/channel/UCRCiZN-dAo908pgp880apiA" TargetMode="External"/><Relationship Id="rId423" Type="http://schemas.openxmlformats.org/officeDocument/2006/relationships/hyperlink" Target="https://www.youtube.com/channel/UCvVVw2mAjpi6CM3nAw9SNZQ" TargetMode="External"/><Relationship Id="rId424" Type="http://schemas.openxmlformats.org/officeDocument/2006/relationships/hyperlink" Target="https://www.youtube.com/channel/UCWXgy_dF8xcMh0Z1pN5g5vQ" TargetMode="External"/><Relationship Id="rId425" Type="http://schemas.openxmlformats.org/officeDocument/2006/relationships/hyperlink" Target="https://www.youtube.com/channel/UCs_cDwNImRzRR7slHChLCgg" TargetMode="External"/><Relationship Id="rId426" Type="http://schemas.openxmlformats.org/officeDocument/2006/relationships/hyperlink" Target="https://www.youtube.com/channel/UCDuhtFxOqGNUvuiVrYM6r4A" TargetMode="External"/><Relationship Id="rId427" Type="http://schemas.openxmlformats.org/officeDocument/2006/relationships/hyperlink" Target="https://youtube.com/channel/UCOvz80yL3aaGjGl2zTsKbqw" TargetMode="External"/><Relationship Id="rId428" Type="http://schemas.openxmlformats.org/officeDocument/2006/relationships/hyperlink" Target="https://www.youtube.com/channel/UCuuBfLmmlTu7zy16NKN6ruA" TargetMode="External"/><Relationship Id="rId429" Type="http://schemas.openxmlformats.org/officeDocument/2006/relationships/hyperlink" Target="https://www.youtube.com/channel/UCAHL_rnUqSaXiDp5mfm9vGA" TargetMode="External"/><Relationship Id="rId430" Type="http://schemas.openxmlformats.org/officeDocument/2006/relationships/hyperlink" Target="https://www.youtube.com/channel/UCp9Jdf2TDbvFHywuaTAxDJA" TargetMode="External"/><Relationship Id="rId431" Type="http://schemas.openxmlformats.org/officeDocument/2006/relationships/hyperlink" Target="https://www.youtube.com/channel/UCzSPJ4Oa5j4W5pHiiTDmtAw" TargetMode="External"/><Relationship Id="rId432" Type="http://schemas.openxmlformats.org/officeDocument/2006/relationships/hyperlink" Target="https://www.youtube.com/channel/UCQHEYDgq2RjyvHQky59SeIA" TargetMode="External"/><Relationship Id="rId433" Type="http://schemas.openxmlformats.org/officeDocument/2006/relationships/hyperlink" Target="https://www.youtube.com/channel/UCtfHq0KbcSzLGNb9mWk9htg" TargetMode="External"/><Relationship Id="rId434" Type="http://schemas.openxmlformats.org/officeDocument/2006/relationships/hyperlink" Target="https://www.youtube.com/channel/UCO042gc6Nn6fVqx6dmsKcIQ" TargetMode="External"/><Relationship Id="rId435" Type="http://schemas.openxmlformats.org/officeDocument/2006/relationships/hyperlink" Target="https://www.youtube.com/channel/UCzD4OUK7MjC-z34l-xRftvg" TargetMode="External"/><Relationship Id="rId436" Type="http://schemas.openxmlformats.org/officeDocument/2006/relationships/hyperlink" Target="https://www.youtube.com/channel/UCQ067fPPAy9weGZi3P1-TlQ" TargetMode="External"/><Relationship Id="rId437" Type="http://schemas.openxmlformats.org/officeDocument/2006/relationships/hyperlink" Target="https://www.youtube.com/channel/UCe5WQdyziWsdVI7XRCSr1YQ" TargetMode="External"/><Relationship Id="rId438" Type="http://schemas.openxmlformats.org/officeDocument/2006/relationships/hyperlink" Target="https://www.youtube.com/channel/UC5LYABfdbGkklBEex5BNrSg" TargetMode="External"/><Relationship Id="rId439" Type="http://schemas.openxmlformats.org/officeDocument/2006/relationships/hyperlink" Target="https://youtube.com/channel/UCyh-mmgHADIodzcSOzVYmPA" TargetMode="External"/><Relationship Id="rId440" Type="http://schemas.openxmlformats.org/officeDocument/2006/relationships/hyperlink" Target="https://youtube.com/channel/UC46duG8nwuAi5daRYoQEWpA" TargetMode="External"/><Relationship Id="rId441" Type="http://schemas.openxmlformats.org/officeDocument/2006/relationships/hyperlink" Target="https://www.youtube.com/channel/UCCtocdleeSsGYWROYi8YCCQ" TargetMode="External"/><Relationship Id="rId442" Type="http://schemas.openxmlformats.org/officeDocument/2006/relationships/hyperlink" Target="https://youtube.com/channel/UC0t1_E5TzA0mA7BJH9NHWRA" TargetMode="External"/><Relationship Id="rId443" Type="http://schemas.openxmlformats.org/officeDocument/2006/relationships/hyperlink" Target="https://www.youtube.com/channel/UCNj8qw3CBM5kws0fyilKinA" TargetMode="External"/><Relationship Id="rId444" Type="http://schemas.openxmlformats.org/officeDocument/2006/relationships/hyperlink" Target="https://www.youtube.com/channel/UCvWQUPPFCRvxBn0kycttEvQ" TargetMode="External"/><Relationship Id="rId445" Type="http://schemas.openxmlformats.org/officeDocument/2006/relationships/hyperlink" Target="https://www.youtube.com/channel/UCxbtwyQ8wIn2ToPggn9l6ZA" TargetMode="External"/><Relationship Id="rId446" Type="http://schemas.openxmlformats.org/officeDocument/2006/relationships/hyperlink" Target="https://youtube.com/channel/UC0Ht6lUsfcXKIxw8XWgBwug" TargetMode="External"/><Relationship Id="rId447" Type="http://schemas.openxmlformats.org/officeDocument/2006/relationships/hyperlink" Target="https://www.youtube.com/channel/UCAW4CoC13oyipMGGx4pHVDA" TargetMode="External"/><Relationship Id="rId448" Type="http://schemas.openxmlformats.org/officeDocument/2006/relationships/hyperlink" Target="https://www.youtube.com/channel/UCI8ORjR8RtKqqeCsi-JpJLg" TargetMode="External"/><Relationship Id="rId449" Type="http://schemas.openxmlformats.org/officeDocument/2006/relationships/hyperlink" Target="https://www.youtube.com/channel/UCzikn__EJkiveNWOZY6cqlQ" TargetMode="External"/><Relationship Id="rId450" Type="http://schemas.openxmlformats.org/officeDocument/2006/relationships/hyperlink" Target="https://www.youtube.com/channel/UCf-eCs1b91KnnrEyEQFge-Q" TargetMode="External"/><Relationship Id="rId451" Type="http://schemas.openxmlformats.org/officeDocument/2006/relationships/hyperlink" Target="https://youtube.com/channel/UCSoIp1XPCqI1KoKtY0Bv5aQ" TargetMode="External"/><Relationship Id="rId452" Type="http://schemas.openxmlformats.org/officeDocument/2006/relationships/hyperlink" Target="https://www.youtube.com/channel/UCsAhDetiv1Oe5KkXQ4HuuQA" TargetMode="External"/><Relationship Id="rId453" Type="http://schemas.openxmlformats.org/officeDocument/2006/relationships/hyperlink" Target="https://www.youtube.com/channel/UCIp4eiPRRq14AF_qwWSxoAA" TargetMode="External"/><Relationship Id="rId454" Type="http://schemas.openxmlformats.org/officeDocument/2006/relationships/hyperlink" Target="https://www.youtube.com/channel/UCNQn4VmJVM1KGzmCDrcE9Hw" TargetMode="External"/><Relationship Id="rId455" Type="http://schemas.openxmlformats.org/officeDocument/2006/relationships/hyperlink" Target="https://www.youtube.com/channel/UCE86s7CUEkjmNt6-N3S-CgQ" TargetMode="External"/><Relationship Id="rId456" Type="http://schemas.openxmlformats.org/officeDocument/2006/relationships/hyperlink" Target="https://www.youtube.com/channel/UCo7Ae1yNG-qICNH4H7cx48g" TargetMode="External"/><Relationship Id="rId457" Type="http://schemas.openxmlformats.org/officeDocument/2006/relationships/hyperlink" Target="https://www.youtube.com/channel/UC-a6bCSG3TGcIP7IDGUNYHg" TargetMode="External"/><Relationship Id="rId458" Type="http://schemas.openxmlformats.org/officeDocument/2006/relationships/hyperlink" Target="https://www.youtube.com/channel/UCdkrZydCq_ML1bLCK5XFUfw" TargetMode="External"/><Relationship Id="rId459" Type="http://schemas.openxmlformats.org/officeDocument/2006/relationships/hyperlink" Target="https://www.youtube.com/channel/UCtjLZANkZ4YMDMfmjABnp-w" TargetMode="External"/><Relationship Id="rId460" Type="http://schemas.openxmlformats.org/officeDocument/2006/relationships/hyperlink" Target="https://www.youtube.com/channel/UC_OuzE8JSzj5jPNHCSl6K_w" TargetMode="External"/><Relationship Id="rId461" Type="http://schemas.openxmlformats.org/officeDocument/2006/relationships/hyperlink" Target="https://youtube.com/channel/UC-zNN9IvAIVyS3plqr2ERug" TargetMode="External"/><Relationship Id="rId462" Type="http://schemas.openxmlformats.org/officeDocument/2006/relationships/hyperlink" Target="https://www.youtube.com/channel/UC1a-O_Air_DBnrsds_u8-cg" TargetMode="External"/><Relationship Id="rId463" Type="http://schemas.openxmlformats.org/officeDocument/2006/relationships/hyperlink" Target="https://www.youtube.com/channel/UC0wZzugMJA2mQ7CTMNqeExw" TargetMode="External"/><Relationship Id="rId464" Type="http://schemas.openxmlformats.org/officeDocument/2006/relationships/hyperlink" Target="https://www.youtube.com/channel/UCPMMi3LaE-rNSkhiBjBYm7w" TargetMode="External"/><Relationship Id="rId465" Type="http://schemas.openxmlformats.org/officeDocument/2006/relationships/hyperlink" Target="https://www.youtube.com/channel/UC9e97rPHfyOP-AE1tJmXrNA" TargetMode="External"/><Relationship Id="rId466" Type="http://schemas.openxmlformats.org/officeDocument/2006/relationships/hyperlink" Target="https://youtube.com/channel/UCRUqUeqPhCfbS7Suk-rAAXQ" TargetMode="External"/><Relationship Id="rId467" Type="http://schemas.openxmlformats.org/officeDocument/2006/relationships/hyperlink" Target="https://youtube.com/channel/UC_r9i52SHmFan9wab4FgDMg" TargetMode="External"/><Relationship Id="rId468" Type="http://schemas.openxmlformats.org/officeDocument/2006/relationships/hyperlink" Target="https://www.youtube.com/channel/UCMleHxeKV4IKDigoCmcPd3w" TargetMode="External"/><Relationship Id="rId469" Type="http://schemas.openxmlformats.org/officeDocument/2006/relationships/hyperlink" Target="https://www.youtube.com/channel/UCl9ue2Z6d4mlEjoYDtQW3RA" TargetMode="External"/><Relationship Id="rId470" Type="http://schemas.openxmlformats.org/officeDocument/2006/relationships/hyperlink" Target="https://youtube.com/channel/UC829iPKnSXVK3qbzmxASOJQ" TargetMode="External"/><Relationship Id="rId471" Type="http://schemas.openxmlformats.org/officeDocument/2006/relationships/hyperlink" Target="https://youtube.com/channel/UCt893rSsk-Fv08nYBu7T75Q" TargetMode="External"/><Relationship Id="rId472" Type="http://schemas.openxmlformats.org/officeDocument/2006/relationships/hyperlink" Target="https://www.youtube.com/channel/UCuKkylVKNCsGJgGcDrGJSmg" TargetMode="External"/><Relationship Id="rId473" Type="http://schemas.openxmlformats.org/officeDocument/2006/relationships/hyperlink" Target="https://youtube.com/channel/UCcbK81fDz1IBTdgOFgqLORw" TargetMode="External"/><Relationship Id="rId474" Type="http://schemas.openxmlformats.org/officeDocument/2006/relationships/hyperlink" Target="https://www.youtube.com/channel/UCXd3uGmj1gxM3CfQQN5lJrQ" TargetMode="External"/><Relationship Id="rId475" Type="http://schemas.openxmlformats.org/officeDocument/2006/relationships/hyperlink" Target="https://www.youtube.com/channel/UCEnnZ5IUJev_o1wdX6f4ZvA" TargetMode="External"/><Relationship Id="rId476" Type="http://schemas.openxmlformats.org/officeDocument/2006/relationships/hyperlink" Target="https://www.youtube.com/channel/UC_LwHD2SlBgCbRYcDgfFiHA" TargetMode="External"/><Relationship Id="rId477" Type="http://schemas.openxmlformats.org/officeDocument/2006/relationships/hyperlink" Target="https://www.youtube.com/channel/UCKhpM-cu2Cod-GyG6KngNYg" TargetMode="External"/><Relationship Id="rId478" Type="http://schemas.openxmlformats.org/officeDocument/2006/relationships/hyperlink" Target="https://www.youtube.com/channel/UCcfCDMBeoeM6RfK3rwgoYtg" TargetMode="External"/><Relationship Id="rId479" Type="http://schemas.openxmlformats.org/officeDocument/2006/relationships/hyperlink" Target="https://www.youtube.com/channel/UC8KsBa2GAej1zK_C0t7AgMg" TargetMode="External"/><Relationship Id="rId480" Type="http://schemas.openxmlformats.org/officeDocument/2006/relationships/hyperlink" Target="https://www.youtube.com/channel/UC7YJHZkmcFMN27X99Ju8IJw" TargetMode="External"/><Relationship Id="rId481" Type="http://schemas.openxmlformats.org/officeDocument/2006/relationships/hyperlink" Target="https://www.youtube.com/channel/UCtIMBH5emdPHYZ_i5j7jmVQ" TargetMode="External"/><Relationship Id="rId482" Type="http://schemas.openxmlformats.org/officeDocument/2006/relationships/hyperlink" Target="https://youtube.com/channel/UCD0I2v6q06pERyqjmatnEkA" TargetMode="External"/><Relationship Id="rId483" Type="http://schemas.openxmlformats.org/officeDocument/2006/relationships/hyperlink" Target="https://www.youtube.com/channel/UCufHth8AVDLCBtjn0-uyJKA" TargetMode="External"/><Relationship Id="rId484" Type="http://schemas.openxmlformats.org/officeDocument/2006/relationships/hyperlink" Target="https://www.youtube.com/channel/UCkeHjmwU00N2r8Q0AwfFv3A" TargetMode="External"/><Relationship Id="rId485" Type="http://schemas.openxmlformats.org/officeDocument/2006/relationships/hyperlink" Target="https://youtube.com/channel/UCXND0JvTetoNKEKM5SCqOeA" TargetMode="External"/><Relationship Id="rId486" Type="http://schemas.openxmlformats.org/officeDocument/2006/relationships/hyperlink" Target="https://www.youtube.com/channel/UCXv2xXbq2byvuK7pEflK7sg" TargetMode="External"/><Relationship Id="rId487" Type="http://schemas.openxmlformats.org/officeDocument/2006/relationships/hyperlink" Target="https://www.youtube.com/channel/UCOcQX-XqSJLZF9pKGvJ7KOw" TargetMode="External"/><Relationship Id="rId488" Type="http://schemas.openxmlformats.org/officeDocument/2006/relationships/hyperlink" Target="https://youtube.com/channel/UCOTNwb-jvcYW6gnr6oaJwxA" TargetMode="External"/><Relationship Id="rId489" Type="http://schemas.openxmlformats.org/officeDocument/2006/relationships/hyperlink" Target="https://www.youtube.com/channel/UCxnGy5jyr4-uEolXFhFBlMA" TargetMode="External"/><Relationship Id="rId490" Type="http://schemas.openxmlformats.org/officeDocument/2006/relationships/hyperlink" Target="https://www.youtube.com/channel/UChFth1SHQp-7MwinHj7pfBg" TargetMode="External"/><Relationship Id="rId491" Type="http://schemas.openxmlformats.org/officeDocument/2006/relationships/hyperlink" Target="https://www.youtube.com/channel/UCkm4RNrAasb4--uNpOEASGA" TargetMode="External"/><Relationship Id="rId492" Type="http://schemas.openxmlformats.org/officeDocument/2006/relationships/hyperlink" Target="https://www.youtube.com/channel/UC_jCUNZT_0Qc5VA1WSMns0g" TargetMode="External"/><Relationship Id="rId493" Type="http://schemas.openxmlformats.org/officeDocument/2006/relationships/hyperlink" Target="https://www.youtube.com/channel/UCnmYX-ucB-4b7dCixREnv8g" TargetMode="External"/><Relationship Id="rId494" Type="http://schemas.openxmlformats.org/officeDocument/2006/relationships/hyperlink" Target="https://www.youtube.com/channel/UCnQFlqb_SfK5X7cQ7cX1Qiw" TargetMode="External"/><Relationship Id="rId495" Type="http://schemas.openxmlformats.org/officeDocument/2006/relationships/hyperlink" Target="https://www.youtube.com/channel/UCesL03uMdwndPez95N50dfA" TargetMode="External"/><Relationship Id="rId496" Type="http://schemas.openxmlformats.org/officeDocument/2006/relationships/hyperlink" Target="https://www.youtube.com/channel/UC2Wc_kos03JBGs8c_MnCzXg" TargetMode="External"/><Relationship Id="rId497" Type="http://schemas.openxmlformats.org/officeDocument/2006/relationships/hyperlink" Target="https://www.youtube.com/channel/UCpKwwHGBxqPZsicBIehX8Dw" TargetMode="External"/><Relationship Id="rId498" Type="http://schemas.openxmlformats.org/officeDocument/2006/relationships/hyperlink" Target="https://www.youtube.com/channel/UCqlJ7o2yf75PRxPOA0fCMsg" TargetMode="External"/><Relationship Id="rId499" Type="http://schemas.openxmlformats.org/officeDocument/2006/relationships/hyperlink" Target="https://www.youtube.com/channel/UCyxhs4EhxFUhlgMBdyOLO5w" TargetMode="External"/><Relationship Id="rId500" Type="http://schemas.openxmlformats.org/officeDocument/2006/relationships/hyperlink" Target="https://www.youtube.com/channel/UCZxlV54cm9hJCLlx1dpgF7Q" TargetMode="External"/><Relationship Id="rId501" Type="http://schemas.openxmlformats.org/officeDocument/2006/relationships/hyperlink" Target="https://www.youtube.com/channel/UCZLjWAT3GcOXpVbph4ntODw" TargetMode="External"/><Relationship Id="rId502" Type="http://schemas.openxmlformats.org/officeDocument/2006/relationships/hyperlink" Target="https://youtube.com/channel/UCis33vnt8w0_rJOiBc8rtWQ" TargetMode="External"/><Relationship Id="rId503" Type="http://schemas.openxmlformats.org/officeDocument/2006/relationships/hyperlink" Target="https://www.youtube.com/channel/UCYPY4wIHPmVn_wMEtIeFCmw" TargetMode="External"/><Relationship Id="rId504" Type="http://schemas.openxmlformats.org/officeDocument/2006/relationships/hyperlink" Target="https://www.youtube.com/channel/UCbhVJgzezJWCG04Hk2e2Gaw" TargetMode="External"/><Relationship Id="rId505" Type="http://schemas.openxmlformats.org/officeDocument/2006/relationships/hyperlink" Target="https://www.youtube.com/channel/UCW4-cm-BuvUjdEKdsGXX23w" TargetMode="External"/><Relationship Id="rId506" Type="http://schemas.openxmlformats.org/officeDocument/2006/relationships/hyperlink" Target="https://www.youtube.com/channel/UCxSavPpdR_zf2YQgcgELxzQ" TargetMode="External"/><Relationship Id="rId507" Type="http://schemas.openxmlformats.org/officeDocument/2006/relationships/hyperlink" Target="https://www.youtube.com/channel/UC7bev6q8b_8Q5j9JydONwIw" TargetMode="External"/><Relationship Id="rId508" Type="http://schemas.openxmlformats.org/officeDocument/2006/relationships/hyperlink" Target="https://www.youtube.com/channel/UCw2zVY9OyV0pY4oqRzzDYxA" TargetMode="External"/><Relationship Id="rId509" Type="http://schemas.openxmlformats.org/officeDocument/2006/relationships/hyperlink" Target="https://youtube.com/channel/UCOCTciWKTPcB9Xn70-kdEVg" TargetMode="External"/><Relationship Id="rId510" Type="http://schemas.openxmlformats.org/officeDocument/2006/relationships/hyperlink" Target="https://youtube.com/channel/UCSunTlSMGWkJWPOe2Y_APzA" TargetMode="External"/><Relationship Id="rId511" Type="http://schemas.openxmlformats.org/officeDocument/2006/relationships/hyperlink" Target="https://www.youtube.com/channel/UC0VuPj8KctWORm7W-cYXSbA" TargetMode="External"/><Relationship Id="rId512" Type="http://schemas.openxmlformats.org/officeDocument/2006/relationships/hyperlink" Target="https://www.youtube.com/channel/UCKNqzgpFumSE32dPs2JkcNA" TargetMode="External"/><Relationship Id="rId513" Type="http://schemas.openxmlformats.org/officeDocument/2006/relationships/hyperlink" Target="https://youtube.com/channel/UCsgjB2R3r-I4aj8guKUfppQ" TargetMode="External"/><Relationship Id="rId514" Type="http://schemas.openxmlformats.org/officeDocument/2006/relationships/hyperlink" Target="https://youtube.com/channel/UCIstKiaE14amE-sgs6HEs6g" TargetMode="External"/><Relationship Id="rId515" Type="http://schemas.openxmlformats.org/officeDocument/2006/relationships/hyperlink" Target="https://www.youtube.com/channel/UCfS9mAt5KgND2gcVDNcG8pw" TargetMode="External"/><Relationship Id="rId516" Type="http://schemas.openxmlformats.org/officeDocument/2006/relationships/hyperlink" Target="https://www.youtube.com/channel/UCQj_8_XdspWBvmdKyR8g5lQ" TargetMode="External"/><Relationship Id="rId517" Type="http://schemas.openxmlformats.org/officeDocument/2006/relationships/hyperlink" Target="https://www.youtube.com/channel/UCb5vgGaOLmUChqIscPfOpWQ" TargetMode="External"/><Relationship Id="rId518" Type="http://schemas.openxmlformats.org/officeDocument/2006/relationships/hyperlink" Target="https://www.youtube.com/channel/UCumWPrG46gBVzKn4HCc94fg" TargetMode="External"/><Relationship Id="rId519" Type="http://schemas.openxmlformats.org/officeDocument/2006/relationships/hyperlink" Target="https://youtube.com/channel/UCjMg5Mix_W4lzh3AxoJhnKw" TargetMode="External"/><Relationship Id="rId520" Type="http://schemas.openxmlformats.org/officeDocument/2006/relationships/hyperlink" Target="https://www.youtube.com/channel/UCNBv9eGXnUysGZ0v9mTWfKg" TargetMode="External"/><Relationship Id="rId521" Type="http://schemas.openxmlformats.org/officeDocument/2006/relationships/hyperlink" Target="https://youtube.com/channel/UCcGltcR6n7e9OH2jW6AvKTQ" TargetMode="External"/><Relationship Id="rId522" Type="http://schemas.openxmlformats.org/officeDocument/2006/relationships/hyperlink" Target="https://www.youtube.com/channel/UCZokx0tGGPGupOwDaZVwB-Q" TargetMode="External"/><Relationship Id="rId523" Type="http://schemas.openxmlformats.org/officeDocument/2006/relationships/hyperlink" Target="https://youtube.com/channel/UCziuI6GDnIEfatY0dnEjZEw" TargetMode="External"/><Relationship Id="rId524" Type="http://schemas.openxmlformats.org/officeDocument/2006/relationships/hyperlink" Target="https://youtube.com/channel/UCajuNlWPQu3zpwj6rxWUegg" TargetMode="External"/><Relationship Id="rId525" Type="http://schemas.openxmlformats.org/officeDocument/2006/relationships/hyperlink" Target="https://www.youtube.com/channel/UC3rCL45joFq_rQiBuWjvpSw" TargetMode="External"/><Relationship Id="rId526" Type="http://schemas.openxmlformats.org/officeDocument/2006/relationships/hyperlink" Target="https://youtube.com/channel/UCQcUn5DY8byFkcpsUeSx_Tw" TargetMode="External"/><Relationship Id="rId527" Type="http://schemas.openxmlformats.org/officeDocument/2006/relationships/hyperlink" Target="https://youtube.com/channel/UCCVqmMXWoyY7dLgU_IxpwrQ" TargetMode="External"/><Relationship Id="rId528" Type="http://schemas.openxmlformats.org/officeDocument/2006/relationships/hyperlink" Target="https://youtube.com/channel/UCehSVhf53-GTeen4Au8niPg" TargetMode="External"/><Relationship Id="rId529" Type="http://schemas.openxmlformats.org/officeDocument/2006/relationships/hyperlink" Target="https://youtube.com/channel/UCgBVZkm-feWgGQmPybOfcCQ" TargetMode="External"/><Relationship Id="rId530" Type="http://schemas.openxmlformats.org/officeDocument/2006/relationships/hyperlink" Target="https://www.youtube.com/channel/UCp5Izfe00Y8cpo_Chvit0YA" TargetMode="External"/><Relationship Id="rId531" Type="http://schemas.openxmlformats.org/officeDocument/2006/relationships/hyperlink" Target="https://www.youtube.com/channel/UCQzHHzFb2lK0EyXmGPQWp3w" TargetMode="External"/><Relationship Id="rId532" Type="http://schemas.openxmlformats.org/officeDocument/2006/relationships/hyperlink" Target="https://youtube.com/channel/UCS0wHI_enWV8ta7TSiHiG0w" TargetMode="External"/><Relationship Id="rId533" Type="http://schemas.openxmlformats.org/officeDocument/2006/relationships/hyperlink" Target="https://www.youtube.com/channel/UCdfw5Jn0zZjIre8VeY7M_nw" TargetMode="External"/><Relationship Id="rId534" Type="http://schemas.openxmlformats.org/officeDocument/2006/relationships/hyperlink" Target="https://youtube.com/channel/UCM7Ho0Vxh-aEHJiDy_-BMxg" TargetMode="External"/><Relationship Id="rId535" Type="http://schemas.openxmlformats.org/officeDocument/2006/relationships/hyperlink" Target="https://www.youtube.com/channel/UCD1kH_Z5TZDbO-9MDe9pz_A" TargetMode="External"/><Relationship Id="rId536" Type="http://schemas.openxmlformats.org/officeDocument/2006/relationships/hyperlink" Target="https://www.youtube.com/channel/UCVQ6PfvArbOwvbaySSqnsMQ" TargetMode="External"/><Relationship Id="rId537" Type="http://schemas.openxmlformats.org/officeDocument/2006/relationships/hyperlink" Target="https://youtube.com/channel/UCm5OGrtyXM7twoHYBc2J4bw" TargetMode="External"/><Relationship Id="rId538" Type="http://schemas.openxmlformats.org/officeDocument/2006/relationships/hyperlink" Target="https://www.youtube.com/channel/UCTdYCtuxNqIpw0C7jbrIIag" TargetMode="External"/><Relationship Id="rId539" Type="http://schemas.openxmlformats.org/officeDocument/2006/relationships/hyperlink" Target="https://www.youtube.com/channel/UCWovhpJJhrkBV3v_VQfUDog" TargetMode="External"/><Relationship Id="rId540" Type="http://schemas.openxmlformats.org/officeDocument/2006/relationships/hyperlink" Target="https://www.youtube.com/channel/UCZvpwSGaxaa4_7lI-xArnMw" TargetMode="External"/><Relationship Id="rId541" Type="http://schemas.openxmlformats.org/officeDocument/2006/relationships/hyperlink" Target="https://www.youtube.com/channel/UCAqt6sQvTPWUIom62ctQ2Sg" TargetMode="External"/><Relationship Id="rId542" Type="http://schemas.openxmlformats.org/officeDocument/2006/relationships/hyperlink" Target="https://www.youtube.com/channel/UC724Jsg_qtmMIAqKPPLsBog" TargetMode="External"/><Relationship Id="rId543" Type="http://schemas.openxmlformats.org/officeDocument/2006/relationships/hyperlink" Target="https://www.youtube.com/channel/UCoxPfQ4NQdpCKABJDm-Jz_A" TargetMode="External"/><Relationship Id="rId544" Type="http://schemas.openxmlformats.org/officeDocument/2006/relationships/hyperlink" Target="https://www.youtube.com/channel/UCNahlMRsQAe8_1ZNMa4cjUw" TargetMode="External"/><Relationship Id="rId545" Type="http://schemas.openxmlformats.org/officeDocument/2006/relationships/hyperlink" Target="https://www.youtube.com/channel/UC3r50fpxB2Y5zioe-hlkQxQ" TargetMode="External"/><Relationship Id="rId546" Type="http://schemas.openxmlformats.org/officeDocument/2006/relationships/hyperlink" Target="https://www.youtube.com/channel/UCTsYQOBJZR57hDuczrn8IPQ" TargetMode="External"/><Relationship Id="rId547" Type="http://schemas.openxmlformats.org/officeDocument/2006/relationships/hyperlink" Target="https://www.youtube.com/channel/UChvsAIJzt6D1NX-87c_eAhg" TargetMode="External"/><Relationship Id="rId548" Type="http://schemas.openxmlformats.org/officeDocument/2006/relationships/hyperlink" Target="https://www.youtube.com/channel/UCiM2iZ6rg2LSWSoSJuIlTPA" TargetMode="External"/><Relationship Id="rId549" Type="http://schemas.openxmlformats.org/officeDocument/2006/relationships/hyperlink" Target="https://www.youtube.com/channel/UCQbTDCVJEFzp11q2l3kJ6gw" TargetMode="External"/><Relationship Id="rId550" Type="http://schemas.openxmlformats.org/officeDocument/2006/relationships/hyperlink" Target="https://youtube.com/channel/UCoznHalCs34No_iQslNUfvg" TargetMode="External"/><Relationship Id="rId551" Type="http://schemas.openxmlformats.org/officeDocument/2006/relationships/hyperlink" Target="https://www.youtube.com/channel/UCXUtaeBIKPLQH315tKlzE5Q" TargetMode="External"/><Relationship Id="rId552" Type="http://schemas.openxmlformats.org/officeDocument/2006/relationships/hyperlink" Target="https://www.youtube.com/channel/UCHeUUrORW8bg2xEqEEdKFxg" TargetMode="External"/><Relationship Id="rId553" Type="http://schemas.openxmlformats.org/officeDocument/2006/relationships/hyperlink" Target="https://www.youtube.com/channel/UCakrfklzwJJzATzCjF2MIgQ" TargetMode="External"/><Relationship Id="rId554" Type="http://schemas.openxmlformats.org/officeDocument/2006/relationships/hyperlink" Target="https://www.youtube.com/channel/UCo1WWIDt-wXo7ZAQOs8xwXw" TargetMode="External"/><Relationship Id="rId555" Type="http://schemas.openxmlformats.org/officeDocument/2006/relationships/hyperlink" Target="https://www.youtube.com/channel/UCK_uzxz0L1X9NPqervz711Q" TargetMode="External"/><Relationship Id="rId556" Type="http://schemas.openxmlformats.org/officeDocument/2006/relationships/hyperlink" Target="https://www.youtube.com/channel/UCAPFk0n8dRwggfdRAU6gq_g" TargetMode="External"/><Relationship Id="rId557" Type="http://schemas.openxmlformats.org/officeDocument/2006/relationships/hyperlink" Target="https://www.youtube.com/channel/UCtHSufHULdY5p2G-2PnGNQw" TargetMode="External"/><Relationship Id="rId558" Type="http://schemas.openxmlformats.org/officeDocument/2006/relationships/hyperlink" Target="https://youtube.com/channel/UCREVjsPhVHkOo2YNaoYrv1w" TargetMode="External"/><Relationship Id="rId559" Type="http://schemas.openxmlformats.org/officeDocument/2006/relationships/hyperlink" Target="https://www.youtube.com/channel/UCoUsUT1htaWk6IM028KgCkQ" TargetMode="External"/><Relationship Id="rId560" Type="http://schemas.openxmlformats.org/officeDocument/2006/relationships/hyperlink" Target="https://youtube.com/channel/UCjhX_TAjLbQXZ71katb1-QA" TargetMode="External"/><Relationship Id="rId561" Type="http://schemas.openxmlformats.org/officeDocument/2006/relationships/hyperlink" Target="https://youtube.com/channel/UCP2kykmOeh7ykFvKpEzBEZA" TargetMode="External"/><Relationship Id="rId56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23.8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row>
    <row r="23" customFormat="false" ht="15" hidden="false" customHeight="false" outlineLevel="0" collapsed="false">
      <c r="A23" s="3" t="s">
        <v>18</v>
      </c>
    </row>
    <row r="24" customFormat="false" ht="23.85" hidden="false" customHeight="false" outlineLevel="0" collapsed="false">
      <c r="A24" s="2" t="s">
        <v>19</v>
      </c>
    </row>
    <row r="25" customFormat="false" ht="23.8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3" t="s">
        <v>21</v>
      </c>
    </row>
    <row r="28" customFormat="false" ht="15" hidden="false" customHeight="false" outlineLevel="0" collapsed="false">
      <c r="A28" s="2" t="s">
        <v>22</v>
      </c>
    </row>
    <row r="29" customFormat="false" ht="1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4" min="3" style="0" width="14"/>
    <col collapsed="false" customWidth="true" hidden="false" outlineLevel="0" max="5" min="5" style="0" width="34"/>
    <col collapsed="false" customWidth="true" hidden="false" outlineLevel="0" max="7" min="6" style="0" width="6"/>
    <col collapsed="false" customWidth="true" hidden="false" outlineLevel="0" max="8" min="8" style="0" width="20"/>
    <col collapsed="false" customWidth="true" hidden="false" outlineLevel="0" max="9" min="9" style="0" width="13"/>
    <col collapsed="false" customWidth="true" hidden="false" outlineLevel="0" max="10" min="10" style="0" width="12"/>
    <col collapsed="false" customWidth="true" hidden="false" outlineLevel="0" max="11" min="11" style="0" width="10"/>
    <col collapsed="false" customWidth="true" hidden="false" outlineLevel="0" max="12" min="12" style="0" width="9"/>
    <col collapsed="false" customWidth="true" hidden="false" outlineLevel="0" max="14" min="13" style="0" width="12"/>
    <col collapsed="false" customWidth="true" hidden="false" outlineLevel="0" max="15" min="15" style="0" width="9"/>
    <col collapsed="false" customWidth="true" hidden="false" outlineLevel="0" max="18" min="16" style="0" width="8"/>
    <col collapsed="false" customWidth="true" hidden="false" outlineLevel="0" max="19" min="19" style="0" width="13"/>
    <col collapsed="false" customWidth="true" hidden="false" outlineLevel="0" max="20" min="20" style="0" width="10"/>
    <col collapsed="false" customWidth="true" hidden="false" outlineLevel="0" max="21" min="21" style="0" width="8"/>
    <col collapsed="false" customWidth="true" hidden="false" outlineLevel="0" max="22" min="22" style="0" width="90"/>
  </cols>
  <sheetData>
    <row r="1" customFormat="false" ht="35.05" hidden="false" customHeight="false" outlineLevel="0" collapsed="false">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4" t="s">
        <v>45</v>
      </c>
      <c r="U1" s="4" t="s">
        <v>46</v>
      </c>
      <c r="V1" s="4" t="s">
        <v>47</v>
      </c>
    </row>
    <row r="2" customFormat="false" ht="15" hidden="false" customHeight="false" outlineLevel="0" collapsed="false">
      <c r="A2" s="5" t="n">
        <v>1</v>
      </c>
      <c r="B2" s="5" t="s">
        <v>48</v>
      </c>
      <c r="C2" s="6" t="s">
        <v>49</v>
      </c>
      <c r="D2" s="5" t="s">
        <v>50</v>
      </c>
      <c r="E2" s="5" t="s">
        <v>51</v>
      </c>
      <c r="F2" s="5"/>
      <c r="G2" s="5"/>
      <c r="H2" s="5" t="s">
        <v>52</v>
      </c>
      <c r="I2" s="5"/>
      <c r="J2" s="7" t="n">
        <v>64417</v>
      </c>
      <c r="K2" s="8" t="n">
        <v>377000</v>
      </c>
      <c r="L2" s="8" t="n">
        <v>95</v>
      </c>
      <c r="M2" s="8" t="n">
        <v>172500</v>
      </c>
      <c r="N2" s="8" t="n">
        <v>24109973</v>
      </c>
      <c r="O2" s="5" t="n">
        <v>23.1</v>
      </c>
      <c r="P2" s="9" t="n">
        <v>2.67</v>
      </c>
      <c r="Q2" s="5" t="n">
        <v>2.59</v>
      </c>
      <c r="R2" s="5" t="s">
        <v>53</v>
      </c>
      <c r="S2" s="5" t="s">
        <v>54</v>
      </c>
      <c r="T2" s="5" t="n">
        <v>28</v>
      </c>
      <c r="U2" s="5" t="s">
        <v>55</v>
      </c>
      <c r="V2" s="5" t="s">
        <v>56</v>
      </c>
    </row>
    <row r="3" customFormat="false" ht="15" hidden="false" customHeight="false" outlineLevel="0" collapsed="false">
      <c r="A3" s="5" t="n">
        <v>2</v>
      </c>
      <c r="B3" s="5" t="s">
        <v>57</v>
      </c>
      <c r="C3" s="6" t="s">
        <v>49</v>
      </c>
      <c r="D3" s="5" t="s">
        <v>58</v>
      </c>
      <c r="E3" s="5" t="s">
        <v>59</v>
      </c>
      <c r="F3" s="5"/>
      <c r="G3" s="5"/>
      <c r="H3" s="5" t="s">
        <v>60</v>
      </c>
      <c r="I3" s="5"/>
      <c r="J3" s="7" t="n">
        <v>62793</v>
      </c>
      <c r="K3" s="8" t="n">
        <v>40000</v>
      </c>
      <c r="L3" s="8" t="n">
        <v>245</v>
      </c>
      <c r="M3" s="8" t="n">
        <v>4200</v>
      </c>
      <c r="N3" s="8" t="n">
        <v>32704841</v>
      </c>
      <c r="O3" s="5" t="n">
        <v>8.2</v>
      </c>
      <c r="P3" s="9" t="n">
        <v>1.92</v>
      </c>
      <c r="Q3" s="5" t="n">
        <v>0.42</v>
      </c>
      <c r="R3" s="5" t="s">
        <v>53</v>
      </c>
      <c r="S3" s="5" t="s">
        <v>61</v>
      </c>
      <c r="T3" s="5" t="n">
        <v>122</v>
      </c>
      <c r="U3" s="5" t="s">
        <v>55</v>
      </c>
      <c r="V3" s="5" t="s">
        <v>62</v>
      </c>
    </row>
    <row r="4" customFormat="false" ht="15" hidden="false" customHeight="false" outlineLevel="0" collapsed="false">
      <c r="A4" s="5" t="n">
        <v>3</v>
      </c>
      <c r="B4" s="5" t="s">
        <v>63</v>
      </c>
      <c r="C4" s="6" t="s">
        <v>49</v>
      </c>
      <c r="D4" s="5" t="s">
        <v>58</v>
      </c>
      <c r="E4" s="5" t="s">
        <v>59</v>
      </c>
      <c r="F4" s="5"/>
      <c r="G4" s="5"/>
      <c r="H4" s="5" t="s">
        <v>64</v>
      </c>
      <c r="I4" s="5"/>
      <c r="J4" s="7" t="n">
        <v>51309</v>
      </c>
      <c r="K4" s="8" t="n">
        <v>46000</v>
      </c>
      <c r="L4" s="8" t="n">
        <v>118</v>
      </c>
      <c r="M4" s="8" t="n">
        <v>3000</v>
      </c>
      <c r="N4" s="8" t="n">
        <v>29670317</v>
      </c>
      <c r="O4" s="5" t="n">
        <v>10.9</v>
      </c>
      <c r="P4" s="9" t="n">
        <v>1.73</v>
      </c>
      <c r="Q4" s="5" t="n">
        <v>0.3</v>
      </c>
      <c r="R4" s="5" t="s">
        <v>53</v>
      </c>
      <c r="S4" s="5" t="s">
        <v>65</v>
      </c>
      <c r="T4" s="5" t="n">
        <v>30</v>
      </c>
      <c r="U4" s="5" t="s">
        <v>55</v>
      </c>
      <c r="V4" s="5" t="s">
        <v>66</v>
      </c>
    </row>
    <row r="5" customFormat="false" ht="15" hidden="false" customHeight="false" outlineLevel="0" collapsed="false">
      <c r="A5" s="5" t="n">
        <v>4</v>
      </c>
      <c r="B5" s="5" t="s">
        <v>67</v>
      </c>
      <c r="C5" s="6" t="s">
        <v>49</v>
      </c>
      <c r="D5" s="5" t="s">
        <v>68</v>
      </c>
      <c r="E5" s="5" t="s">
        <v>69</v>
      </c>
      <c r="F5" s="5"/>
      <c r="G5" s="5"/>
      <c r="H5" s="5" t="s">
        <v>70</v>
      </c>
      <c r="I5" s="5"/>
      <c r="J5" s="7" t="n">
        <v>47833</v>
      </c>
      <c r="K5" s="8" t="n">
        <v>33100</v>
      </c>
      <c r="L5" s="8" t="n">
        <v>238</v>
      </c>
      <c r="M5" s="8" t="n">
        <v>33450</v>
      </c>
      <c r="N5" s="8" t="n">
        <v>9680828</v>
      </c>
      <c r="O5" s="5" t="n">
        <v>23.4</v>
      </c>
      <c r="P5" s="9" t="n">
        <v>4.94</v>
      </c>
      <c r="Q5" s="5" t="n">
        <v>2</v>
      </c>
      <c r="R5" s="5" t="s">
        <v>53</v>
      </c>
      <c r="S5" s="5" t="s">
        <v>71</v>
      </c>
      <c r="T5" s="5" t="n">
        <v>153</v>
      </c>
      <c r="U5" s="5" t="s">
        <v>55</v>
      </c>
      <c r="V5" s="5" t="s">
        <v>72</v>
      </c>
    </row>
    <row r="6" customFormat="false" ht="15" hidden="false" customHeight="false" outlineLevel="0" collapsed="false">
      <c r="A6" s="5" t="n">
        <v>5</v>
      </c>
      <c r="B6" s="5" t="s">
        <v>73</v>
      </c>
      <c r="C6" s="6" t="s">
        <v>49</v>
      </c>
      <c r="D6" s="5" t="s">
        <v>74</v>
      </c>
      <c r="E6" s="5" t="s">
        <v>75</v>
      </c>
      <c r="F6" s="5" t="s">
        <v>76</v>
      </c>
      <c r="G6" s="5"/>
      <c r="H6" s="5" t="s">
        <v>77</v>
      </c>
      <c r="I6" s="5" t="s">
        <v>78</v>
      </c>
      <c r="J6" s="7" t="n">
        <v>46580</v>
      </c>
      <c r="K6" s="8" t="n">
        <v>63200</v>
      </c>
      <c r="L6" s="8" t="n">
        <v>26</v>
      </c>
      <c r="M6" s="8" t="n">
        <v>598730.77</v>
      </c>
      <c r="N6" s="8" t="n">
        <v>9244674</v>
      </c>
      <c r="O6" s="5" t="n">
        <v>36.9</v>
      </c>
      <c r="P6" s="9" t="n">
        <v>5.04</v>
      </c>
      <c r="Q6" s="5" t="n">
        <v>9.19</v>
      </c>
      <c r="R6" s="5" t="s">
        <v>53</v>
      </c>
      <c r="S6" s="5" t="s">
        <v>79</v>
      </c>
      <c r="T6" s="5" t="n">
        <v>96</v>
      </c>
      <c r="U6" s="5" t="s">
        <v>80</v>
      </c>
      <c r="V6" s="5" t="s">
        <v>81</v>
      </c>
    </row>
    <row r="7" customFormat="false" ht="15" hidden="false" customHeight="false" outlineLevel="0" collapsed="false">
      <c r="A7" s="5" t="n">
        <v>6</v>
      </c>
      <c r="B7" s="5" t="s">
        <v>82</v>
      </c>
      <c r="C7" s="6" t="s">
        <v>49</v>
      </c>
      <c r="D7" s="5" t="s">
        <v>83</v>
      </c>
      <c r="E7" s="5" t="s">
        <v>84</v>
      </c>
      <c r="F7" s="5"/>
      <c r="G7" s="5"/>
      <c r="H7" s="5" t="s">
        <v>85</v>
      </c>
      <c r="I7" s="5"/>
      <c r="J7" s="7" t="n">
        <v>43332</v>
      </c>
      <c r="K7" s="8" t="n">
        <v>128000</v>
      </c>
      <c r="L7" s="8" t="n">
        <v>469</v>
      </c>
      <c r="M7" s="8" t="n">
        <v>3747</v>
      </c>
      <c r="N7" s="8" t="n">
        <v>40133157</v>
      </c>
      <c r="O7" s="5" t="n">
        <v>8.6</v>
      </c>
      <c r="P7" s="9" t="n">
        <v>1.08</v>
      </c>
      <c r="Q7" s="5" t="n">
        <v>0.06</v>
      </c>
      <c r="R7" s="5" t="s">
        <v>53</v>
      </c>
      <c r="S7" s="5" t="s">
        <v>86</v>
      </c>
      <c r="T7" s="5" t="n">
        <v>61</v>
      </c>
      <c r="U7" s="5" t="s">
        <v>55</v>
      </c>
      <c r="V7" s="5" t="s">
        <v>87</v>
      </c>
    </row>
    <row r="8" customFormat="false" ht="15" hidden="false" customHeight="false" outlineLevel="0" collapsed="false">
      <c r="A8" s="5" t="n">
        <v>7</v>
      </c>
      <c r="B8" s="5" t="s">
        <v>88</v>
      </c>
      <c r="C8" s="6" t="s">
        <v>49</v>
      </c>
      <c r="D8" s="5" t="s">
        <v>89</v>
      </c>
      <c r="E8" s="5" t="s">
        <v>90</v>
      </c>
      <c r="F8" s="5" t="s">
        <v>91</v>
      </c>
      <c r="G8" s="5" t="s">
        <v>92</v>
      </c>
      <c r="H8" s="5" t="s">
        <v>93</v>
      </c>
      <c r="I8" s="5" t="s">
        <v>94</v>
      </c>
      <c r="J8" s="7" t="n">
        <v>42087</v>
      </c>
      <c r="K8" s="8" t="n">
        <v>43900</v>
      </c>
      <c r="L8" s="8" t="n">
        <v>503</v>
      </c>
      <c r="M8" s="8" t="n">
        <v>46400</v>
      </c>
      <c r="N8" s="8" t="n">
        <v>11999261</v>
      </c>
      <c r="O8" s="5" t="n">
        <v>24.7</v>
      </c>
      <c r="P8" s="9" t="n">
        <v>3.51</v>
      </c>
      <c r="Q8" s="5" t="n">
        <v>0.61</v>
      </c>
      <c r="R8" s="5" t="s">
        <v>95</v>
      </c>
      <c r="S8" s="5" t="s">
        <v>96</v>
      </c>
      <c r="T8" s="5" t="n">
        <v>33</v>
      </c>
      <c r="U8" s="5" t="s">
        <v>80</v>
      </c>
      <c r="V8" s="5" t="s">
        <v>97</v>
      </c>
    </row>
    <row r="9" customFormat="false" ht="15" hidden="false" customHeight="false" outlineLevel="0" collapsed="false">
      <c r="A9" s="5" t="n">
        <v>8</v>
      </c>
      <c r="B9" s="5" t="s">
        <v>98</v>
      </c>
      <c r="C9" s="6" t="s">
        <v>49</v>
      </c>
      <c r="D9" s="5" t="s">
        <v>99</v>
      </c>
      <c r="E9" s="5" t="s">
        <v>100</v>
      </c>
      <c r="F9" s="5" t="s">
        <v>76</v>
      </c>
      <c r="G9" s="5" t="s">
        <v>101</v>
      </c>
      <c r="H9" s="5" t="s">
        <v>102</v>
      </c>
      <c r="I9" s="5" t="s">
        <v>94</v>
      </c>
      <c r="J9" s="7" t="n">
        <v>42051</v>
      </c>
      <c r="K9" s="8" t="n">
        <v>24800</v>
      </c>
      <c r="L9" s="8" t="n">
        <v>20</v>
      </c>
      <c r="M9" s="8" t="n">
        <v>533315</v>
      </c>
      <c r="N9" s="8" t="n">
        <v>9058524</v>
      </c>
      <c r="O9" s="5" t="n">
        <v>18.2</v>
      </c>
      <c r="P9" s="9" t="n">
        <v>4.64</v>
      </c>
      <c r="Q9" s="5" t="n">
        <v>12.4</v>
      </c>
      <c r="R9" s="5" t="s">
        <v>95</v>
      </c>
      <c r="S9" s="5" t="s">
        <v>103</v>
      </c>
      <c r="T9" s="5" t="n">
        <v>65</v>
      </c>
      <c r="U9" s="5" t="s">
        <v>80</v>
      </c>
      <c r="V9" s="5" t="s">
        <v>104</v>
      </c>
    </row>
    <row r="10" customFormat="false" ht="15" hidden="false" customHeight="false" outlineLevel="0" collapsed="false">
      <c r="A10" s="5" t="n">
        <v>9</v>
      </c>
      <c r="B10" s="5" t="s">
        <v>105</v>
      </c>
      <c r="C10" s="6" t="s">
        <v>49</v>
      </c>
      <c r="D10" s="5" t="s">
        <v>106</v>
      </c>
      <c r="E10" s="5" t="s">
        <v>107</v>
      </c>
      <c r="F10" s="5" t="s">
        <v>76</v>
      </c>
      <c r="G10" s="5" t="s">
        <v>101</v>
      </c>
      <c r="H10" s="5" t="s">
        <v>108</v>
      </c>
      <c r="I10" s="5" t="s">
        <v>109</v>
      </c>
      <c r="J10" s="7" t="n">
        <v>34161</v>
      </c>
      <c r="K10" s="8" t="n">
        <v>75000</v>
      </c>
      <c r="L10" s="8" t="n">
        <v>40</v>
      </c>
      <c r="M10" s="8" t="n">
        <v>215030</v>
      </c>
      <c r="N10" s="8" t="n">
        <v>6888217</v>
      </c>
      <c r="O10" s="5" t="n">
        <v>24.4</v>
      </c>
      <c r="P10" s="9" t="n">
        <v>4.96</v>
      </c>
      <c r="Q10" s="5" t="n">
        <v>2.57</v>
      </c>
      <c r="R10" s="5" t="s">
        <v>95</v>
      </c>
      <c r="S10" s="5" t="s">
        <v>110</v>
      </c>
      <c r="T10" s="5" t="n">
        <v>34</v>
      </c>
      <c r="U10" s="5" t="s">
        <v>80</v>
      </c>
      <c r="V10" s="5" t="s">
        <v>111</v>
      </c>
    </row>
    <row r="11" customFormat="false" ht="15" hidden="false" customHeight="false" outlineLevel="0" collapsed="false">
      <c r="A11" s="5" t="n">
        <v>10</v>
      </c>
      <c r="B11" s="5" t="s">
        <v>112</v>
      </c>
      <c r="C11" s="6" t="s">
        <v>49</v>
      </c>
      <c r="D11" s="5" t="s">
        <v>113</v>
      </c>
      <c r="E11" s="5" t="s">
        <v>114</v>
      </c>
      <c r="F11" s="5" t="s">
        <v>76</v>
      </c>
      <c r="G11" s="5" t="s">
        <v>101</v>
      </c>
      <c r="H11" s="5" t="s">
        <v>115</v>
      </c>
      <c r="I11" s="5" t="s">
        <v>94</v>
      </c>
      <c r="J11" s="7" t="n">
        <v>33468</v>
      </c>
      <c r="K11" s="8" t="n">
        <v>26900</v>
      </c>
      <c r="L11" s="8" t="n">
        <v>104</v>
      </c>
      <c r="M11" s="8" t="n">
        <v>69775.98</v>
      </c>
      <c r="N11" s="8" t="n">
        <v>2275607</v>
      </c>
      <c r="O11" s="5" t="n">
        <v>191.3</v>
      </c>
      <c r="P11" s="9" t="n">
        <v>14.71</v>
      </c>
      <c r="Q11" s="5" t="n">
        <v>0.79</v>
      </c>
      <c r="R11" s="5" t="s">
        <v>53</v>
      </c>
      <c r="S11" s="5" t="s">
        <v>116</v>
      </c>
      <c r="T11" s="5" t="n">
        <v>126</v>
      </c>
      <c r="U11" s="5" t="s">
        <v>80</v>
      </c>
      <c r="V11" s="5" t="s">
        <v>117</v>
      </c>
    </row>
    <row r="12" customFormat="false" ht="15" hidden="false" customHeight="false" outlineLevel="0" collapsed="false">
      <c r="A12" s="5" t="n">
        <v>11</v>
      </c>
      <c r="B12" s="5" t="s">
        <v>118</v>
      </c>
      <c r="C12" s="6" t="s">
        <v>49</v>
      </c>
      <c r="D12" s="5" t="s">
        <v>119</v>
      </c>
      <c r="E12" s="5" t="s">
        <v>120</v>
      </c>
      <c r="F12" s="5" t="s">
        <v>76</v>
      </c>
      <c r="G12" s="5" t="s">
        <v>101</v>
      </c>
      <c r="H12" s="5" t="s">
        <v>121</v>
      </c>
      <c r="I12" s="5" t="s">
        <v>122</v>
      </c>
      <c r="J12" s="7" t="n">
        <v>32061</v>
      </c>
      <c r="K12" s="8" t="n">
        <v>9400</v>
      </c>
      <c r="L12" s="8" t="n">
        <v>18</v>
      </c>
      <c r="M12" s="8" t="n">
        <v>109012.76</v>
      </c>
      <c r="N12" s="8" t="n">
        <v>2881532</v>
      </c>
      <c r="O12" s="5" t="n">
        <v>49</v>
      </c>
      <c r="P12" s="9" t="n">
        <v>11.13</v>
      </c>
      <c r="Q12" s="5" t="n">
        <v>0.41</v>
      </c>
      <c r="R12" s="5" t="s">
        <v>53</v>
      </c>
      <c r="S12" s="5" t="s">
        <v>96</v>
      </c>
      <c r="T12" s="5" t="n">
        <v>33</v>
      </c>
      <c r="U12" s="5" t="s">
        <v>80</v>
      </c>
      <c r="V12" s="5" t="s">
        <v>123</v>
      </c>
    </row>
    <row r="13" customFormat="false" ht="15" hidden="false" customHeight="false" outlineLevel="0" collapsed="false">
      <c r="A13" s="5" t="n">
        <v>12</v>
      </c>
      <c r="B13" s="5" t="s">
        <v>124</v>
      </c>
      <c r="C13" s="6" t="s">
        <v>49</v>
      </c>
      <c r="D13" s="5" t="s">
        <v>125</v>
      </c>
      <c r="E13" s="5" t="s">
        <v>126</v>
      </c>
      <c r="F13" s="5" t="s">
        <v>76</v>
      </c>
      <c r="G13" s="5" t="s">
        <v>101</v>
      </c>
      <c r="H13" s="5" t="s">
        <v>102</v>
      </c>
      <c r="I13" s="5" t="s">
        <v>94</v>
      </c>
      <c r="J13" s="7" t="n">
        <v>31816</v>
      </c>
      <c r="K13" s="8" t="n">
        <v>71100</v>
      </c>
      <c r="L13" s="8" t="n">
        <v>73</v>
      </c>
      <c r="M13" s="8" t="n">
        <v>136977.4</v>
      </c>
      <c r="N13" s="8" t="n">
        <v>6800170</v>
      </c>
      <c r="O13" s="5" t="n">
        <v>23.6</v>
      </c>
      <c r="P13" s="9" t="n">
        <v>4.68</v>
      </c>
      <c r="Q13" s="5" t="n">
        <v>2.48</v>
      </c>
      <c r="R13" s="5" t="s">
        <v>53</v>
      </c>
      <c r="S13" s="5" t="s">
        <v>79</v>
      </c>
      <c r="T13" s="5" t="n">
        <v>96</v>
      </c>
      <c r="U13" s="5" t="s">
        <v>80</v>
      </c>
      <c r="V13" s="5" t="s">
        <v>127</v>
      </c>
    </row>
    <row r="14" customFormat="false" ht="15" hidden="false" customHeight="false" outlineLevel="0" collapsed="false">
      <c r="A14" s="5" t="n">
        <v>13</v>
      </c>
      <c r="B14" s="5" t="s">
        <v>128</v>
      </c>
      <c r="C14" s="6" t="s">
        <v>49</v>
      </c>
      <c r="D14" s="5" t="s">
        <v>129</v>
      </c>
      <c r="E14" s="5" t="s">
        <v>130</v>
      </c>
      <c r="F14" s="5" t="s">
        <v>76</v>
      </c>
      <c r="G14" s="5" t="s">
        <v>101</v>
      </c>
      <c r="H14" s="5" t="s">
        <v>131</v>
      </c>
      <c r="I14" s="5" t="s">
        <v>94</v>
      </c>
      <c r="J14" s="7" t="n">
        <v>30684</v>
      </c>
      <c r="K14" s="8" t="n">
        <v>32500</v>
      </c>
      <c r="L14" s="8" t="n">
        <v>23</v>
      </c>
      <c r="M14" s="8" t="n">
        <v>311539.13</v>
      </c>
      <c r="N14" s="8" t="n">
        <v>6671378</v>
      </c>
      <c r="O14" s="5" t="n">
        <v>25.2</v>
      </c>
      <c r="P14" s="9" t="n">
        <v>4.6</v>
      </c>
      <c r="Q14" s="5" t="n">
        <v>4.9</v>
      </c>
      <c r="R14" s="5" t="s">
        <v>53</v>
      </c>
      <c r="S14" s="5" t="s">
        <v>96</v>
      </c>
      <c r="T14" s="5" t="n">
        <v>33</v>
      </c>
      <c r="U14" s="5" t="s">
        <v>80</v>
      </c>
      <c r="V14" s="5" t="s">
        <v>132</v>
      </c>
    </row>
    <row r="15" customFormat="false" ht="15" hidden="false" customHeight="false" outlineLevel="0" collapsed="false">
      <c r="A15" s="5" t="n">
        <v>14</v>
      </c>
      <c r="B15" s="5" t="s">
        <v>133</v>
      </c>
      <c r="C15" s="6" t="s">
        <v>49</v>
      </c>
      <c r="D15" s="5" t="s">
        <v>134</v>
      </c>
      <c r="E15" s="5" t="s">
        <v>135</v>
      </c>
      <c r="F15" s="5" t="s">
        <v>76</v>
      </c>
      <c r="G15" s="5"/>
      <c r="H15" s="5" t="s">
        <v>136</v>
      </c>
      <c r="I15" s="5" t="s">
        <v>78</v>
      </c>
      <c r="J15" s="7" t="n">
        <v>28757</v>
      </c>
      <c r="K15" s="8" t="n">
        <v>25100</v>
      </c>
      <c r="L15" s="8" t="n">
        <v>11</v>
      </c>
      <c r="M15" s="8" t="n">
        <v>704000</v>
      </c>
      <c r="N15" s="8" t="n">
        <v>7308938</v>
      </c>
      <c r="O15" s="5" t="n">
        <v>21.6</v>
      </c>
      <c r="P15" s="9" t="n">
        <v>3.93</v>
      </c>
      <c r="Q15" s="5" t="n">
        <v>45.3</v>
      </c>
      <c r="R15" s="5" t="s">
        <v>53</v>
      </c>
      <c r="S15" s="5" t="s">
        <v>96</v>
      </c>
      <c r="T15" s="5" t="n">
        <v>33</v>
      </c>
      <c r="U15" s="5" t="s">
        <v>80</v>
      </c>
      <c r="V15" s="5" t="s">
        <v>137</v>
      </c>
    </row>
    <row r="16" customFormat="false" ht="15" hidden="false" customHeight="false" outlineLevel="0" collapsed="false">
      <c r="A16" s="5" t="n">
        <v>15</v>
      </c>
      <c r="B16" s="5" t="s">
        <v>138</v>
      </c>
      <c r="C16" s="6" t="s">
        <v>49</v>
      </c>
      <c r="D16" s="5" t="s">
        <v>139</v>
      </c>
      <c r="E16" s="5" t="s">
        <v>140</v>
      </c>
      <c r="F16" s="5" t="s">
        <v>76</v>
      </c>
      <c r="G16" s="5"/>
      <c r="H16" s="5" t="s">
        <v>93</v>
      </c>
      <c r="I16" s="5" t="s">
        <v>94</v>
      </c>
      <c r="J16" s="7" t="n">
        <v>26791</v>
      </c>
      <c r="K16" s="8" t="n">
        <v>46800</v>
      </c>
      <c r="L16" s="8" t="n">
        <v>86</v>
      </c>
      <c r="M16" s="8" t="n">
        <v>88924.42</v>
      </c>
      <c r="N16" s="8" t="n">
        <v>5247184</v>
      </c>
      <c r="O16" s="5" t="n">
        <v>29.4</v>
      </c>
      <c r="P16" s="9" t="n">
        <v>5.11</v>
      </c>
      <c r="Q16" s="5" t="n">
        <v>1.2</v>
      </c>
      <c r="R16" s="5" t="s">
        <v>95</v>
      </c>
      <c r="S16" s="5" t="s">
        <v>79</v>
      </c>
      <c r="T16" s="5" t="n">
        <v>96</v>
      </c>
      <c r="U16" s="5" t="s">
        <v>80</v>
      </c>
      <c r="V16" s="5" t="s">
        <v>141</v>
      </c>
    </row>
    <row r="17" customFormat="false" ht="15" hidden="false" customHeight="false" outlineLevel="0" collapsed="false">
      <c r="A17" s="5" t="n">
        <v>16</v>
      </c>
      <c r="B17" s="5" t="s">
        <v>142</v>
      </c>
      <c r="C17" s="6" t="s">
        <v>49</v>
      </c>
      <c r="D17" s="5" t="s">
        <v>50</v>
      </c>
      <c r="E17" s="5" t="s">
        <v>51</v>
      </c>
      <c r="F17" s="5"/>
      <c r="G17" s="5"/>
      <c r="H17" s="5" t="s">
        <v>143</v>
      </c>
      <c r="I17" s="5"/>
      <c r="J17" s="7" t="n">
        <v>26030</v>
      </c>
      <c r="K17" s="8" t="n">
        <v>590000</v>
      </c>
      <c r="L17" s="8" t="n">
        <v>182</v>
      </c>
      <c r="M17" s="8" t="n">
        <v>80000</v>
      </c>
      <c r="N17" s="8" t="n">
        <v>8142426</v>
      </c>
      <c r="O17" s="5" t="n">
        <v>21.4</v>
      </c>
      <c r="P17" s="9" t="n">
        <v>3.2</v>
      </c>
      <c r="Q17" s="5" t="n">
        <v>0.67</v>
      </c>
      <c r="R17" s="5" t="s">
        <v>53</v>
      </c>
      <c r="S17" s="5" t="s">
        <v>86</v>
      </c>
      <c r="T17" s="5" t="n">
        <v>61</v>
      </c>
      <c r="U17" s="5" t="s">
        <v>55</v>
      </c>
      <c r="V17" s="5" t="s">
        <v>144</v>
      </c>
    </row>
    <row r="18" customFormat="false" ht="15" hidden="false" customHeight="false" outlineLevel="0" collapsed="false">
      <c r="A18" s="5" t="n">
        <v>17</v>
      </c>
      <c r="B18" s="5" t="s">
        <v>145</v>
      </c>
      <c r="C18" s="6" t="s">
        <v>49</v>
      </c>
      <c r="D18" s="5" t="s">
        <v>146</v>
      </c>
      <c r="E18" s="5" t="s">
        <v>147</v>
      </c>
      <c r="F18" s="5" t="s">
        <v>76</v>
      </c>
      <c r="G18" s="5"/>
      <c r="H18" s="5" t="s">
        <v>93</v>
      </c>
      <c r="I18" s="5" t="s">
        <v>94</v>
      </c>
      <c r="J18" s="7" t="n">
        <v>25952</v>
      </c>
      <c r="K18" s="8" t="n">
        <v>9250</v>
      </c>
      <c r="L18" s="8" t="n">
        <v>60</v>
      </c>
      <c r="M18" s="8" t="n">
        <v>76752.52</v>
      </c>
      <c r="N18" s="8" t="n">
        <v>3957658</v>
      </c>
      <c r="O18" s="5" t="n">
        <v>30.5</v>
      </c>
      <c r="P18" s="9" t="n">
        <v>6.56</v>
      </c>
      <c r="Q18" s="5" t="n">
        <v>6.76</v>
      </c>
      <c r="R18" s="5" t="s">
        <v>53</v>
      </c>
      <c r="S18" s="5" t="s">
        <v>103</v>
      </c>
      <c r="T18" s="5" t="n">
        <v>65</v>
      </c>
      <c r="U18" s="5" t="s">
        <v>80</v>
      </c>
      <c r="V18" s="5" t="s">
        <v>148</v>
      </c>
    </row>
    <row r="19" customFormat="false" ht="15" hidden="false" customHeight="false" outlineLevel="0" collapsed="false">
      <c r="A19" s="5" t="n">
        <v>18</v>
      </c>
      <c r="B19" s="5" t="s">
        <v>149</v>
      </c>
      <c r="C19" s="6" t="s">
        <v>49</v>
      </c>
      <c r="D19" s="5" t="s">
        <v>150</v>
      </c>
      <c r="E19" s="5" t="s">
        <v>151</v>
      </c>
      <c r="F19" s="5" t="s">
        <v>76</v>
      </c>
      <c r="G19" s="5" t="s">
        <v>101</v>
      </c>
      <c r="H19" s="5" t="s">
        <v>152</v>
      </c>
      <c r="I19" s="5" t="s">
        <v>153</v>
      </c>
      <c r="J19" s="7" t="n">
        <v>25328</v>
      </c>
      <c r="K19" s="8" t="n">
        <v>34800</v>
      </c>
      <c r="L19" s="8" t="n">
        <v>58</v>
      </c>
      <c r="M19" s="8" t="n">
        <v>254956.52</v>
      </c>
      <c r="N19" s="8" t="n">
        <v>5782952</v>
      </c>
      <c r="O19" s="5" t="n">
        <v>20.1</v>
      </c>
      <c r="P19" s="9" t="n">
        <v>4.38</v>
      </c>
      <c r="Q19" s="5" t="n">
        <v>13.6</v>
      </c>
      <c r="R19" s="5" t="s">
        <v>53</v>
      </c>
      <c r="S19" s="5" t="s">
        <v>103</v>
      </c>
      <c r="T19" s="5" t="n">
        <v>65</v>
      </c>
      <c r="U19" s="5" t="s">
        <v>80</v>
      </c>
      <c r="V19" s="5" t="s">
        <v>154</v>
      </c>
    </row>
    <row r="20" customFormat="false" ht="15" hidden="false" customHeight="false" outlineLevel="0" collapsed="false">
      <c r="A20" s="5" t="n">
        <v>19</v>
      </c>
      <c r="B20" s="5" t="s">
        <v>155</v>
      </c>
      <c r="C20" s="6" t="s">
        <v>49</v>
      </c>
      <c r="D20" s="5" t="s">
        <v>50</v>
      </c>
      <c r="E20" s="5" t="s">
        <v>51</v>
      </c>
      <c r="F20" s="5" t="s">
        <v>156</v>
      </c>
      <c r="G20" s="5" t="s">
        <v>157</v>
      </c>
      <c r="H20" s="5" t="s">
        <v>158</v>
      </c>
      <c r="I20" s="5" t="s">
        <v>159</v>
      </c>
      <c r="J20" s="7" t="n">
        <v>23432</v>
      </c>
      <c r="K20" s="8" t="n">
        <v>71100</v>
      </c>
      <c r="L20" s="8" t="n">
        <v>230</v>
      </c>
      <c r="M20" s="8" t="n">
        <v>272266.67</v>
      </c>
      <c r="N20" s="8" t="n">
        <v>8536248</v>
      </c>
      <c r="O20" s="5" t="n">
        <v>24.1</v>
      </c>
      <c r="P20" s="9" t="n">
        <v>2.75</v>
      </c>
      <c r="Q20" s="5" t="n">
        <v>10.9</v>
      </c>
      <c r="R20" s="5" t="s">
        <v>53</v>
      </c>
      <c r="S20" s="5" t="s">
        <v>79</v>
      </c>
      <c r="T20" s="5" t="n">
        <v>96</v>
      </c>
      <c r="U20" s="5" t="s">
        <v>80</v>
      </c>
      <c r="V20" s="5" t="s">
        <v>160</v>
      </c>
    </row>
    <row r="21" customFormat="false" ht="15" hidden="false" customHeight="false" outlineLevel="0" collapsed="false">
      <c r="A21" s="5" t="n">
        <v>20</v>
      </c>
      <c r="B21" s="5" t="s">
        <v>161</v>
      </c>
      <c r="C21" s="6" t="s">
        <v>49</v>
      </c>
      <c r="D21" s="5" t="s">
        <v>162</v>
      </c>
      <c r="E21" s="5" t="s">
        <v>163</v>
      </c>
      <c r="F21" s="5" t="s">
        <v>76</v>
      </c>
      <c r="G21" s="5" t="s">
        <v>101</v>
      </c>
      <c r="H21" s="5" t="s">
        <v>164</v>
      </c>
      <c r="I21" s="5" t="s">
        <v>122</v>
      </c>
      <c r="J21" s="7" t="n">
        <v>22386</v>
      </c>
      <c r="K21" s="8" t="n">
        <v>67400</v>
      </c>
      <c r="L21" s="8" t="n">
        <v>37</v>
      </c>
      <c r="M21" s="8" t="n">
        <v>307837.84</v>
      </c>
      <c r="N21" s="8" t="n">
        <v>4926019</v>
      </c>
      <c r="O21" s="5" t="n">
        <v>85</v>
      </c>
      <c r="P21" s="9" t="n">
        <v>4.54</v>
      </c>
      <c r="Q21" s="5" t="n">
        <v>5.71</v>
      </c>
      <c r="R21" s="5" t="s">
        <v>95</v>
      </c>
      <c r="S21" s="5" t="s">
        <v>165</v>
      </c>
      <c r="T21" s="5" t="n">
        <v>95</v>
      </c>
      <c r="U21" s="5" t="s">
        <v>80</v>
      </c>
      <c r="V21" s="5" t="s">
        <v>166</v>
      </c>
    </row>
    <row r="22" customFormat="false" ht="15" hidden="false" customHeight="false" outlineLevel="0" collapsed="false">
      <c r="A22" s="5" t="n">
        <v>21</v>
      </c>
      <c r="B22" s="5" t="s">
        <v>167</v>
      </c>
      <c r="C22" s="6" t="s">
        <v>49</v>
      </c>
      <c r="D22" s="5" t="s">
        <v>129</v>
      </c>
      <c r="E22" s="5" t="s">
        <v>130</v>
      </c>
      <c r="F22" s="5" t="s">
        <v>76</v>
      </c>
      <c r="G22" s="5"/>
      <c r="H22" s="5" t="s">
        <v>131</v>
      </c>
      <c r="I22" s="5" t="s">
        <v>94</v>
      </c>
      <c r="J22" s="7" t="n">
        <v>21061</v>
      </c>
      <c r="K22" s="8" t="n">
        <v>6840</v>
      </c>
      <c r="L22" s="8" t="n">
        <v>88</v>
      </c>
      <c r="M22" s="8" t="n">
        <v>31660.18</v>
      </c>
      <c r="N22" s="8" t="n">
        <v>1365231</v>
      </c>
      <c r="O22" s="5" t="n">
        <v>82.9</v>
      </c>
      <c r="P22" s="9" t="n">
        <v>15.43</v>
      </c>
      <c r="Q22" s="5" t="n">
        <v>1.56</v>
      </c>
      <c r="R22" s="5" t="s">
        <v>53</v>
      </c>
      <c r="S22" s="5" t="s">
        <v>96</v>
      </c>
      <c r="T22" s="5" t="n">
        <v>33</v>
      </c>
      <c r="U22" s="5" t="s">
        <v>80</v>
      </c>
      <c r="V22" s="5" t="s">
        <v>168</v>
      </c>
    </row>
    <row r="23" customFormat="false" ht="15" hidden="false" customHeight="false" outlineLevel="0" collapsed="false">
      <c r="A23" s="5" t="n">
        <v>22</v>
      </c>
      <c r="B23" s="5" t="s">
        <v>169</v>
      </c>
      <c r="C23" s="6" t="s">
        <v>49</v>
      </c>
      <c r="D23" s="5" t="s">
        <v>170</v>
      </c>
      <c r="E23" s="5" t="s">
        <v>171</v>
      </c>
      <c r="F23" s="5" t="s">
        <v>76</v>
      </c>
      <c r="G23" s="5" t="s">
        <v>101</v>
      </c>
      <c r="H23" s="5" t="s">
        <v>115</v>
      </c>
      <c r="I23" s="5" t="s">
        <v>94</v>
      </c>
      <c r="J23" s="7" t="n">
        <v>20269</v>
      </c>
      <c r="K23" s="8" t="n">
        <v>40500</v>
      </c>
      <c r="L23" s="8" t="n">
        <v>23</v>
      </c>
      <c r="M23" s="8" t="n">
        <v>1171538.46</v>
      </c>
      <c r="N23" s="8" t="n">
        <v>11039208</v>
      </c>
      <c r="O23" s="5" t="n">
        <v>34.2</v>
      </c>
      <c r="P23" s="9" t="n">
        <v>1.84</v>
      </c>
      <c r="Q23" s="5" t="n">
        <v>68.1</v>
      </c>
      <c r="R23" s="5" t="s">
        <v>53</v>
      </c>
      <c r="S23" s="5" t="s">
        <v>79</v>
      </c>
      <c r="T23" s="5" t="n">
        <v>96</v>
      </c>
      <c r="U23" s="5" t="s">
        <v>80</v>
      </c>
      <c r="V23" s="5" t="s">
        <v>172</v>
      </c>
    </row>
    <row r="24" customFormat="false" ht="15" hidden="false" customHeight="false" outlineLevel="0" collapsed="false">
      <c r="A24" s="5" t="n">
        <v>23</v>
      </c>
      <c r="B24" s="5" t="s">
        <v>173</v>
      </c>
      <c r="C24" s="6" t="s">
        <v>49</v>
      </c>
      <c r="D24" s="5" t="s">
        <v>129</v>
      </c>
      <c r="E24" s="5" t="s">
        <v>130</v>
      </c>
      <c r="F24" s="5" t="s">
        <v>76</v>
      </c>
      <c r="G24" s="5" t="s">
        <v>101</v>
      </c>
      <c r="H24" s="5" t="s">
        <v>131</v>
      </c>
      <c r="I24" s="5" t="s">
        <v>94</v>
      </c>
      <c r="J24" s="7" t="n">
        <v>19603</v>
      </c>
      <c r="K24" s="8" t="n">
        <v>6480</v>
      </c>
      <c r="L24" s="8" t="n">
        <v>26</v>
      </c>
      <c r="M24" s="8" t="n">
        <v>67819.23</v>
      </c>
      <c r="N24" s="8" t="n">
        <v>1269169</v>
      </c>
      <c r="O24" s="5" t="n">
        <v>115.4</v>
      </c>
      <c r="P24" s="9" t="n">
        <v>15.45</v>
      </c>
      <c r="Q24" s="5" t="n">
        <v>6.62</v>
      </c>
      <c r="R24" s="5" t="s">
        <v>53</v>
      </c>
      <c r="S24" s="5" t="s">
        <v>110</v>
      </c>
      <c r="T24" s="5" t="n">
        <v>34</v>
      </c>
      <c r="U24" s="5" t="s">
        <v>80</v>
      </c>
      <c r="V24" s="5" t="s">
        <v>174</v>
      </c>
    </row>
    <row r="25" customFormat="false" ht="15" hidden="false" customHeight="false" outlineLevel="0" collapsed="false">
      <c r="A25" s="5" t="n">
        <v>24</v>
      </c>
      <c r="B25" s="5" t="s">
        <v>175</v>
      </c>
      <c r="C25" s="6" t="s">
        <v>49</v>
      </c>
      <c r="D25" s="5" t="s">
        <v>89</v>
      </c>
      <c r="E25" s="5" t="s">
        <v>90</v>
      </c>
      <c r="F25" s="5" t="s">
        <v>76</v>
      </c>
      <c r="G25" s="5" t="s">
        <v>101</v>
      </c>
      <c r="H25" s="5" t="s">
        <v>93</v>
      </c>
      <c r="I25" s="5" t="s">
        <v>94</v>
      </c>
      <c r="J25" s="7" t="n">
        <v>19531</v>
      </c>
      <c r="K25" s="8" t="n">
        <v>53400</v>
      </c>
      <c r="L25" s="8" t="n">
        <v>7</v>
      </c>
      <c r="M25" s="8" t="n">
        <v>1022142.86</v>
      </c>
      <c r="N25" s="8" t="n">
        <v>4888286</v>
      </c>
      <c r="O25" s="5" t="n">
        <v>42</v>
      </c>
      <c r="P25" s="9" t="n">
        <v>4</v>
      </c>
      <c r="Q25" s="5" t="n">
        <v>21.71</v>
      </c>
      <c r="R25" s="5" t="s">
        <v>53</v>
      </c>
      <c r="S25" s="5" t="s">
        <v>103</v>
      </c>
      <c r="T25" s="5" t="n">
        <v>65</v>
      </c>
      <c r="U25" s="5" t="s">
        <v>80</v>
      </c>
      <c r="V25" s="5" t="s">
        <v>176</v>
      </c>
    </row>
    <row r="26" customFormat="false" ht="15" hidden="false" customHeight="false" outlineLevel="0" collapsed="false">
      <c r="A26" s="5" t="n">
        <v>25</v>
      </c>
      <c r="B26" s="5" t="s">
        <v>177</v>
      </c>
      <c r="C26" s="6" t="s">
        <v>49</v>
      </c>
      <c r="D26" s="5" t="s">
        <v>113</v>
      </c>
      <c r="E26" s="5" t="s">
        <v>114</v>
      </c>
      <c r="F26" s="5" t="s">
        <v>76</v>
      </c>
      <c r="G26" s="5" t="s">
        <v>101</v>
      </c>
      <c r="H26" s="5" t="s">
        <v>115</v>
      </c>
      <c r="I26" s="5" t="s">
        <v>94</v>
      </c>
      <c r="J26" s="7" t="n">
        <v>19442</v>
      </c>
      <c r="K26" s="8" t="n">
        <v>4270</v>
      </c>
      <c r="L26" s="8" t="n">
        <v>39</v>
      </c>
      <c r="M26" s="8" t="n">
        <v>52856.36</v>
      </c>
      <c r="N26" s="8" t="n">
        <v>1440883</v>
      </c>
      <c r="O26" s="5" t="n">
        <v>180.8</v>
      </c>
      <c r="P26" s="9" t="n">
        <v>13.49</v>
      </c>
      <c r="Q26" s="5" t="n">
        <v>2.94</v>
      </c>
      <c r="R26" s="5" t="s">
        <v>53</v>
      </c>
      <c r="S26" s="5" t="s">
        <v>110</v>
      </c>
      <c r="T26" s="5" t="n">
        <v>34</v>
      </c>
      <c r="U26" s="5" t="s">
        <v>80</v>
      </c>
      <c r="V26" s="5" t="s">
        <v>178</v>
      </c>
    </row>
    <row r="27" customFormat="false" ht="15" hidden="false" customHeight="false" outlineLevel="0" collapsed="false">
      <c r="A27" s="5" t="n">
        <v>26</v>
      </c>
      <c r="B27" s="5" t="s">
        <v>179</v>
      </c>
      <c r="C27" s="6" t="s">
        <v>49</v>
      </c>
      <c r="D27" s="5" t="s">
        <v>89</v>
      </c>
      <c r="E27" s="5" t="s">
        <v>90</v>
      </c>
      <c r="F27" s="5" t="s">
        <v>76</v>
      </c>
      <c r="G27" s="5" t="s">
        <v>101</v>
      </c>
      <c r="H27" s="5" t="s">
        <v>93</v>
      </c>
      <c r="I27" s="5" t="s">
        <v>180</v>
      </c>
      <c r="J27" s="7" t="n">
        <v>19316</v>
      </c>
      <c r="K27" s="8" t="n">
        <v>20000</v>
      </c>
      <c r="L27" s="8" t="n">
        <v>10</v>
      </c>
      <c r="M27" s="8" t="n">
        <v>245200</v>
      </c>
      <c r="N27" s="8" t="n">
        <v>1811501</v>
      </c>
      <c r="O27" s="5" t="n">
        <v>120.7</v>
      </c>
      <c r="P27" s="9" t="n">
        <v>10.66</v>
      </c>
      <c r="Q27" s="5" t="n">
        <v>14.15</v>
      </c>
      <c r="R27" s="5" t="s">
        <v>53</v>
      </c>
      <c r="S27" s="5" t="s">
        <v>165</v>
      </c>
      <c r="T27" s="5" t="n">
        <v>95</v>
      </c>
      <c r="U27" s="5" t="s">
        <v>80</v>
      </c>
      <c r="V27" s="5" t="s">
        <v>181</v>
      </c>
    </row>
    <row r="28" customFormat="false" ht="15" hidden="false" customHeight="false" outlineLevel="0" collapsed="false">
      <c r="A28" s="5" t="n">
        <v>27</v>
      </c>
      <c r="B28" s="5" t="s">
        <v>182</v>
      </c>
      <c r="C28" s="6" t="s">
        <v>49</v>
      </c>
      <c r="D28" s="5" t="s">
        <v>162</v>
      </c>
      <c r="E28" s="5" t="s">
        <v>163</v>
      </c>
      <c r="F28" s="5" t="s">
        <v>76</v>
      </c>
      <c r="G28" s="5" t="s">
        <v>101</v>
      </c>
      <c r="H28" s="5" t="s">
        <v>183</v>
      </c>
      <c r="I28" s="5" t="s">
        <v>122</v>
      </c>
      <c r="J28" s="7" t="n">
        <v>19091</v>
      </c>
      <c r="K28" s="8" t="n">
        <v>17200</v>
      </c>
      <c r="L28" s="8" t="n">
        <v>119</v>
      </c>
      <c r="M28" s="8" t="n">
        <v>35553.31</v>
      </c>
      <c r="N28" s="8" t="n">
        <v>2433617</v>
      </c>
      <c r="O28" s="5" t="n">
        <v>84.3</v>
      </c>
      <c r="P28" s="9" t="n">
        <v>7.84</v>
      </c>
      <c r="Q28" s="5" t="n">
        <v>0.34</v>
      </c>
      <c r="R28" s="5" t="s">
        <v>95</v>
      </c>
      <c r="S28" s="5" t="s">
        <v>184</v>
      </c>
      <c r="T28" s="5" t="n">
        <v>64</v>
      </c>
      <c r="U28" s="5" t="s">
        <v>80</v>
      </c>
      <c r="V28" s="10" t="s">
        <v>185</v>
      </c>
    </row>
    <row r="29" customFormat="false" ht="15" hidden="false" customHeight="false" outlineLevel="0" collapsed="false">
      <c r="A29" s="5" t="n">
        <v>28</v>
      </c>
      <c r="B29" s="5" t="s">
        <v>186</v>
      </c>
      <c r="C29" s="6" t="s">
        <v>49</v>
      </c>
      <c r="D29" s="5" t="s">
        <v>187</v>
      </c>
      <c r="E29" s="5" t="s">
        <v>188</v>
      </c>
      <c r="F29" s="5" t="s">
        <v>76</v>
      </c>
      <c r="G29" s="5" t="s">
        <v>101</v>
      </c>
      <c r="H29" s="5" t="s">
        <v>183</v>
      </c>
      <c r="I29" s="5" t="s">
        <v>122</v>
      </c>
      <c r="J29" s="7" t="n">
        <v>18928</v>
      </c>
      <c r="K29" s="8" t="n">
        <v>8119</v>
      </c>
      <c r="L29" s="8" t="n">
        <v>75</v>
      </c>
      <c r="M29" s="8" t="n">
        <v>18930.39</v>
      </c>
      <c r="N29" s="8" t="n">
        <v>1365718</v>
      </c>
      <c r="O29" s="5" t="n">
        <v>141.5</v>
      </c>
      <c r="P29" s="9" t="n">
        <v>13.86</v>
      </c>
      <c r="Q29" s="5" t="n">
        <v>2.56</v>
      </c>
      <c r="R29" s="5" t="s">
        <v>95</v>
      </c>
      <c r="S29" s="5" t="s">
        <v>96</v>
      </c>
      <c r="T29" s="5" t="n">
        <v>33</v>
      </c>
      <c r="U29" s="5" t="s">
        <v>80</v>
      </c>
      <c r="V29" s="5" t="s">
        <v>189</v>
      </c>
    </row>
    <row r="30" customFormat="false" ht="15" hidden="false" customHeight="false" outlineLevel="0" collapsed="false">
      <c r="A30" s="5" t="n">
        <v>29</v>
      </c>
      <c r="B30" s="5" t="s">
        <v>190</v>
      </c>
      <c r="C30" s="6" t="s">
        <v>49</v>
      </c>
      <c r="D30" s="5" t="s">
        <v>191</v>
      </c>
      <c r="E30" s="5" t="s">
        <v>192</v>
      </c>
      <c r="F30" s="5" t="s">
        <v>156</v>
      </c>
      <c r="G30" s="5" t="s">
        <v>157</v>
      </c>
      <c r="H30" s="5" t="s">
        <v>193</v>
      </c>
      <c r="I30" s="5" t="s">
        <v>94</v>
      </c>
      <c r="J30" s="7" t="n">
        <v>18478</v>
      </c>
      <c r="K30" s="8" t="n">
        <v>34900</v>
      </c>
      <c r="L30" s="8" t="n">
        <v>143</v>
      </c>
      <c r="M30" s="8" t="n">
        <v>117088.51</v>
      </c>
      <c r="N30" s="8" t="n">
        <v>6363860</v>
      </c>
      <c r="O30" s="5" t="n">
        <v>53.2</v>
      </c>
      <c r="P30" s="9" t="n">
        <v>2.9</v>
      </c>
      <c r="Q30" s="5" t="n">
        <v>5.4</v>
      </c>
      <c r="R30" s="5" t="s">
        <v>53</v>
      </c>
      <c r="S30" s="5" t="s">
        <v>165</v>
      </c>
      <c r="T30" s="5" t="n">
        <v>95</v>
      </c>
      <c r="U30" s="5" t="s">
        <v>80</v>
      </c>
      <c r="V30" s="5" t="s">
        <v>194</v>
      </c>
    </row>
    <row r="31" customFormat="false" ht="15" hidden="false" customHeight="false" outlineLevel="0" collapsed="false">
      <c r="A31" s="5" t="n">
        <v>30</v>
      </c>
      <c r="B31" s="5" t="s">
        <v>195</v>
      </c>
      <c r="C31" s="6" t="s">
        <v>49</v>
      </c>
      <c r="D31" s="5" t="s">
        <v>196</v>
      </c>
      <c r="E31" s="5" t="s">
        <v>197</v>
      </c>
      <c r="F31" s="5" t="s">
        <v>76</v>
      </c>
      <c r="G31" s="5" t="s">
        <v>101</v>
      </c>
      <c r="H31" s="5" t="s">
        <v>183</v>
      </c>
      <c r="I31" s="5" t="s">
        <v>94</v>
      </c>
      <c r="J31" s="7" t="n">
        <v>18195</v>
      </c>
      <c r="K31" s="8" t="n">
        <v>7180</v>
      </c>
      <c r="L31" s="8" t="n">
        <v>44</v>
      </c>
      <c r="M31" s="8" t="n">
        <v>60029.41</v>
      </c>
      <c r="N31" s="8" t="n">
        <v>1803343</v>
      </c>
      <c r="O31" s="5" t="n">
        <v>32.5</v>
      </c>
      <c r="P31" s="9" t="n">
        <v>10.09</v>
      </c>
      <c r="Q31" s="5" t="n">
        <v>2.79</v>
      </c>
      <c r="R31" s="5" t="s">
        <v>53</v>
      </c>
      <c r="S31" s="5" t="s">
        <v>110</v>
      </c>
      <c r="T31" s="5" t="n">
        <v>34</v>
      </c>
      <c r="U31" s="5" t="s">
        <v>80</v>
      </c>
      <c r="V31" s="5" t="s">
        <v>198</v>
      </c>
    </row>
    <row r="32" customFormat="false" ht="15" hidden="false" customHeight="false" outlineLevel="0" collapsed="false">
      <c r="A32" s="5" t="n">
        <v>31</v>
      </c>
      <c r="B32" s="5" t="s">
        <v>199</v>
      </c>
      <c r="C32" s="6" t="s">
        <v>49</v>
      </c>
      <c r="D32" s="5" t="s">
        <v>200</v>
      </c>
      <c r="E32" s="5" t="s">
        <v>201</v>
      </c>
      <c r="F32" s="5" t="s">
        <v>76</v>
      </c>
      <c r="G32" s="5" t="s">
        <v>101</v>
      </c>
      <c r="H32" s="5" t="s">
        <v>202</v>
      </c>
      <c r="I32" s="5" t="s">
        <v>78</v>
      </c>
      <c r="J32" s="7" t="n">
        <v>18115</v>
      </c>
      <c r="K32" s="8" t="n">
        <v>9590</v>
      </c>
      <c r="L32" s="8" t="n">
        <v>47</v>
      </c>
      <c r="M32" s="8" t="n">
        <v>66066.18</v>
      </c>
      <c r="N32" s="8" t="n">
        <v>6359149</v>
      </c>
      <c r="O32" s="5" t="n">
        <v>28.1</v>
      </c>
      <c r="P32" s="9" t="n">
        <v>2.85</v>
      </c>
      <c r="Q32" s="5" t="n">
        <v>0.62</v>
      </c>
      <c r="R32" s="5" t="s">
        <v>53</v>
      </c>
      <c r="S32" s="5" t="s">
        <v>96</v>
      </c>
      <c r="T32" s="5" t="n">
        <v>33</v>
      </c>
      <c r="U32" s="5" t="s">
        <v>80</v>
      </c>
      <c r="V32" s="5" t="s">
        <v>203</v>
      </c>
    </row>
    <row r="33" customFormat="false" ht="15" hidden="false" customHeight="false" outlineLevel="0" collapsed="false">
      <c r="A33" s="5" t="n">
        <v>32</v>
      </c>
      <c r="B33" s="5" t="s">
        <v>204</v>
      </c>
      <c r="C33" s="6" t="s">
        <v>49</v>
      </c>
      <c r="D33" s="5" t="s">
        <v>205</v>
      </c>
      <c r="E33" s="5" t="s">
        <v>206</v>
      </c>
      <c r="F33" s="5" t="s">
        <v>91</v>
      </c>
      <c r="G33" s="5" t="s">
        <v>92</v>
      </c>
      <c r="H33" s="5" t="s">
        <v>207</v>
      </c>
      <c r="I33" s="5" t="s">
        <v>78</v>
      </c>
      <c r="J33" s="7" t="n">
        <v>17885</v>
      </c>
      <c r="K33" s="8" t="n">
        <v>20600</v>
      </c>
      <c r="L33" s="8" t="n">
        <v>67</v>
      </c>
      <c r="M33" s="8" t="n">
        <v>39883.58</v>
      </c>
      <c r="N33" s="8" t="n">
        <v>1577186</v>
      </c>
      <c r="O33" s="5" t="n">
        <v>67.7</v>
      </c>
      <c r="P33" s="9" t="n">
        <v>11.34</v>
      </c>
      <c r="Q33" s="5" t="n">
        <v>2.5</v>
      </c>
      <c r="R33" s="5" t="s">
        <v>53</v>
      </c>
      <c r="S33" s="5" t="s">
        <v>184</v>
      </c>
      <c r="T33" s="5" t="n">
        <v>64</v>
      </c>
      <c r="U33" s="5" t="s">
        <v>80</v>
      </c>
      <c r="V33" s="5" t="s">
        <v>208</v>
      </c>
    </row>
    <row r="34" customFormat="false" ht="15" hidden="false" customHeight="false" outlineLevel="0" collapsed="false">
      <c r="A34" s="5" t="n">
        <v>33</v>
      </c>
      <c r="B34" s="5" t="s">
        <v>209</v>
      </c>
      <c r="C34" s="6" t="s">
        <v>49</v>
      </c>
      <c r="D34" s="5" t="s">
        <v>210</v>
      </c>
      <c r="E34" s="5" t="s">
        <v>211</v>
      </c>
      <c r="F34" s="5" t="s">
        <v>212</v>
      </c>
      <c r="G34" s="5" t="s">
        <v>213</v>
      </c>
      <c r="H34" s="5" t="s">
        <v>214</v>
      </c>
      <c r="I34" s="5" t="s">
        <v>94</v>
      </c>
      <c r="J34" s="7" t="n">
        <v>17823</v>
      </c>
      <c r="K34" s="8" t="n">
        <v>11700</v>
      </c>
      <c r="L34" s="8" t="n">
        <v>14</v>
      </c>
      <c r="M34" s="8" t="n">
        <v>405114.29</v>
      </c>
      <c r="N34" s="8" t="n">
        <v>7648821</v>
      </c>
      <c r="O34" s="5" t="n">
        <v>11.3</v>
      </c>
      <c r="P34" s="9" t="n">
        <v>2.33</v>
      </c>
      <c r="Q34" s="5" t="n">
        <v>31.3</v>
      </c>
      <c r="R34" s="5" t="s">
        <v>95</v>
      </c>
      <c r="S34" s="5" t="s">
        <v>96</v>
      </c>
      <c r="T34" s="5" t="n">
        <v>33</v>
      </c>
      <c r="U34" s="5" t="s">
        <v>80</v>
      </c>
      <c r="V34" s="5" t="s">
        <v>215</v>
      </c>
    </row>
    <row r="35" customFormat="false" ht="15" hidden="false" customHeight="false" outlineLevel="0" collapsed="false">
      <c r="A35" s="5" t="n">
        <v>34</v>
      </c>
      <c r="B35" s="5" t="s">
        <v>216</v>
      </c>
      <c r="C35" s="6" t="s">
        <v>49</v>
      </c>
      <c r="D35" s="5" t="s">
        <v>217</v>
      </c>
      <c r="E35" s="5" t="s">
        <v>218</v>
      </c>
      <c r="F35" s="5" t="s">
        <v>212</v>
      </c>
      <c r="G35" s="5" t="s">
        <v>219</v>
      </c>
      <c r="H35" s="5" t="s">
        <v>220</v>
      </c>
      <c r="I35" s="5" t="s">
        <v>94</v>
      </c>
      <c r="J35" s="7" t="n">
        <v>17434</v>
      </c>
      <c r="K35" s="8" t="n">
        <v>38200</v>
      </c>
      <c r="L35" s="8" t="n">
        <v>72</v>
      </c>
      <c r="M35" s="8" t="n">
        <v>104589.03</v>
      </c>
      <c r="N35" s="8" t="n">
        <v>6693242</v>
      </c>
      <c r="O35" s="5" t="n">
        <v>16.2</v>
      </c>
      <c r="P35" s="9" t="n">
        <v>2.6</v>
      </c>
      <c r="Q35" s="5" t="n">
        <v>1.35</v>
      </c>
      <c r="R35" s="5" t="s">
        <v>53</v>
      </c>
      <c r="S35" s="5" t="s">
        <v>165</v>
      </c>
      <c r="T35" s="5" t="n">
        <v>95</v>
      </c>
      <c r="U35" s="5" t="s">
        <v>80</v>
      </c>
      <c r="V35" s="5" t="s">
        <v>221</v>
      </c>
    </row>
    <row r="36" customFormat="false" ht="15" hidden="false" customHeight="false" outlineLevel="0" collapsed="false">
      <c r="A36" s="5" t="n">
        <v>35</v>
      </c>
      <c r="B36" s="5" t="s">
        <v>222</v>
      </c>
      <c r="C36" s="6" t="s">
        <v>49</v>
      </c>
      <c r="D36" s="5" t="s">
        <v>223</v>
      </c>
      <c r="E36" s="5" t="s">
        <v>224</v>
      </c>
      <c r="F36" s="5" t="s">
        <v>212</v>
      </c>
      <c r="G36" s="5"/>
      <c r="H36" s="5" t="s">
        <v>214</v>
      </c>
      <c r="I36" s="5" t="s">
        <v>94</v>
      </c>
      <c r="J36" s="7" t="n">
        <v>16237</v>
      </c>
      <c r="K36" s="8" t="n">
        <v>11200</v>
      </c>
      <c r="L36" s="8" t="n">
        <v>14</v>
      </c>
      <c r="M36" s="8" t="n">
        <v>432050</v>
      </c>
      <c r="N36" s="8" t="n">
        <v>4830846</v>
      </c>
      <c r="O36" s="5" t="n">
        <v>21.4</v>
      </c>
      <c r="P36" s="9" t="n">
        <v>3.36</v>
      </c>
      <c r="Q36" s="5" t="n">
        <v>10.5</v>
      </c>
      <c r="R36" s="5" t="s">
        <v>95</v>
      </c>
      <c r="S36" s="5" t="s">
        <v>165</v>
      </c>
      <c r="T36" s="5" t="n">
        <v>95</v>
      </c>
      <c r="U36" s="5" t="s">
        <v>80</v>
      </c>
      <c r="V36" s="5" t="s">
        <v>225</v>
      </c>
    </row>
    <row r="37" customFormat="false" ht="15" hidden="false" customHeight="false" outlineLevel="0" collapsed="false">
      <c r="A37" s="5" t="n">
        <v>36</v>
      </c>
      <c r="B37" s="5" t="s">
        <v>226</v>
      </c>
      <c r="C37" s="6" t="s">
        <v>49</v>
      </c>
      <c r="D37" s="5" t="s">
        <v>227</v>
      </c>
      <c r="E37" s="5" t="s">
        <v>228</v>
      </c>
      <c r="F37" s="5" t="s">
        <v>76</v>
      </c>
      <c r="G37" s="5" t="s">
        <v>101</v>
      </c>
      <c r="H37" s="5" t="s">
        <v>158</v>
      </c>
      <c r="I37" s="5" t="s">
        <v>159</v>
      </c>
      <c r="J37" s="7" t="n">
        <v>15278</v>
      </c>
      <c r="K37" s="8" t="n">
        <v>40500</v>
      </c>
      <c r="L37" s="8" t="n">
        <v>17</v>
      </c>
      <c r="M37" s="8" t="n">
        <v>130470.59</v>
      </c>
      <c r="N37" s="8" t="n">
        <v>1659822</v>
      </c>
      <c r="O37" s="5" t="n">
        <v>157.6</v>
      </c>
      <c r="P37" s="9" t="n">
        <v>9.2</v>
      </c>
      <c r="Q37" s="5" t="n">
        <v>6.8</v>
      </c>
      <c r="R37" s="5" t="s">
        <v>53</v>
      </c>
      <c r="S37" s="5" t="s">
        <v>96</v>
      </c>
      <c r="T37" s="5" t="n">
        <v>33</v>
      </c>
      <c r="U37" s="5" t="s">
        <v>80</v>
      </c>
      <c r="V37" s="5" t="s">
        <v>229</v>
      </c>
    </row>
    <row r="38" customFormat="false" ht="15" hidden="false" customHeight="false" outlineLevel="0" collapsed="false">
      <c r="A38" s="5" t="n">
        <v>37</v>
      </c>
      <c r="B38" s="5" t="s">
        <v>230</v>
      </c>
      <c r="C38" s="6" t="s">
        <v>49</v>
      </c>
      <c r="D38" s="5" t="s">
        <v>231</v>
      </c>
      <c r="E38" s="5" t="s">
        <v>232</v>
      </c>
      <c r="F38" s="5" t="s">
        <v>76</v>
      </c>
      <c r="G38" s="5" t="s">
        <v>101</v>
      </c>
      <c r="H38" s="5" t="s">
        <v>220</v>
      </c>
      <c r="I38" s="5" t="s">
        <v>94</v>
      </c>
      <c r="J38" s="7" t="n">
        <v>15086</v>
      </c>
      <c r="K38" s="8" t="n">
        <v>6630</v>
      </c>
      <c r="L38" s="8" t="n">
        <v>42</v>
      </c>
      <c r="M38" s="8" t="n">
        <v>114823.76</v>
      </c>
      <c r="N38" s="8" t="n">
        <v>4041167</v>
      </c>
      <c r="O38" s="5" t="n">
        <v>16.7</v>
      </c>
      <c r="P38" s="9" t="n">
        <v>3.73</v>
      </c>
      <c r="Q38" s="5" t="n">
        <v>3.09</v>
      </c>
      <c r="R38" s="5" t="s">
        <v>53</v>
      </c>
      <c r="S38" s="5" t="s">
        <v>79</v>
      </c>
      <c r="T38" s="5" t="n">
        <v>96</v>
      </c>
      <c r="U38" s="5" t="s">
        <v>80</v>
      </c>
      <c r="V38" s="5" t="s">
        <v>233</v>
      </c>
    </row>
    <row r="39" customFormat="false" ht="15" hidden="false" customHeight="false" outlineLevel="0" collapsed="false">
      <c r="A39" s="5" t="n">
        <v>38</v>
      </c>
      <c r="B39" s="5" t="s">
        <v>234</v>
      </c>
      <c r="C39" s="6" t="s">
        <v>49</v>
      </c>
      <c r="D39" s="5" t="s">
        <v>235</v>
      </c>
      <c r="E39" s="5" t="s">
        <v>236</v>
      </c>
      <c r="F39" s="5" t="s">
        <v>76</v>
      </c>
      <c r="G39" s="5"/>
      <c r="H39" s="5" t="s">
        <v>237</v>
      </c>
      <c r="I39" s="5" t="s">
        <v>94</v>
      </c>
      <c r="J39" s="7" t="n">
        <v>15084</v>
      </c>
      <c r="K39" s="8" t="n">
        <v>7420</v>
      </c>
      <c r="L39" s="8" t="n">
        <v>33</v>
      </c>
      <c r="M39" s="8" t="n">
        <v>137540.85</v>
      </c>
      <c r="N39" s="8" t="n">
        <v>5944153</v>
      </c>
      <c r="O39" s="5" t="n">
        <v>18.6</v>
      </c>
      <c r="P39" s="9" t="n">
        <v>2.54</v>
      </c>
      <c r="Q39" s="5" t="n">
        <v>0.14</v>
      </c>
      <c r="R39" s="5" t="s">
        <v>95</v>
      </c>
      <c r="S39" s="5" t="s">
        <v>184</v>
      </c>
      <c r="T39" s="5" t="n">
        <v>64</v>
      </c>
      <c r="U39" s="5" t="s">
        <v>80</v>
      </c>
      <c r="V39" s="5" t="s">
        <v>238</v>
      </c>
    </row>
    <row r="40" customFormat="false" ht="15" hidden="false" customHeight="false" outlineLevel="0" collapsed="false">
      <c r="A40" s="5" t="n">
        <v>39</v>
      </c>
      <c r="B40" s="5" t="s">
        <v>239</v>
      </c>
      <c r="C40" s="6" t="s">
        <v>49</v>
      </c>
      <c r="D40" s="5" t="s">
        <v>240</v>
      </c>
      <c r="E40" s="5" t="s">
        <v>241</v>
      </c>
      <c r="F40" s="5" t="s">
        <v>76</v>
      </c>
      <c r="G40" s="5" t="s">
        <v>101</v>
      </c>
      <c r="H40" s="5" t="s">
        <v>93</v>
      </c>
      <c r="I40" s="5" t="s">
        <v>94</v>
      </c>
      <c r="J40" s="7" t="n">
        <v>14885</v>
      </c>
      <c r="K40" s="8" t="n">
        <v>6870</v>
      </c>
      <c r="L40" s="8" t="n">
        <v>124</v>
      </c>
      <c r="M40" s="8" t="n">
        <v>123524.95</v>
      </c>
      <c r="N40" s="8" t="n">
        <v>6240889</v>
      </c>
      <c r="O40" s="5" t="n">
        <v>3.5</v>
      </c>
      <c r="P40" s="9" t="n">
        <v>2.39</v>
      </c>
      <c r="Q40" s="5" t="n">
        <v>0.79</v>
      </c>
      <c r="R40" s="5" t="s">
        <v>53</v>
      </c>
      <c r="S40" s="5" t="s">
        <v>242</v>
      </c>
      <c r="T40" s="5" t="n">
        <v>24</v>
      </c>
      <c r="U40" s="5" t="s">
        <v>80</v>
      </c>
      <c r="V40" s="5" t="s">
        <v>243</v>
      </c>
    </row>
    <row r="41" customFormat="false" ht="15" hidden="false" customHeight="false" outlineLevel="0" collapsed="false">
      <c r="A41" s="5" t="n">
        <v>40</v>
      </c>
      <c r="B41" s="5" t="s">
        <v>244</v>
      </c>
      <c r="C41" s="6" t="s">
        <v>49</v>
      </c>
      <c r="D41" s="5" t="s">
        <v>139</v>
      </c>
      <c r="E41" s="5" t="s">
        <v>140</v>
      </c>
      <c r="F41" s="5" t="s">
        <v>76</v>
      </c>
      <c r="G41" s="5" t="s">
        <v>101</v>
      </c>
      <c r="H41" s="5" t="s">
        <v>245</v>
      </c>
      <c r="I41" s="5" t="s">
        <v>109</v>
      </c>
      <c r="J41" s="7" t="n">
        <v>14868</v>
      </c>
      <c r="K41" s="8" t="n">
        <v>14900</v>
      </c>
      <c r="L41" s="8" t="n">
        <v>48</v>
      </c>
      <c r="M41" s="8" t="n">
        <v>75682.52</v>
      </c>
      <c r="N41" s="8" t="n">
        <v>3610890</v>
      </c>
      <c r="O41" s="5" t="n">
        <v>40.1</v>
      </c>
      <c r="P41" s="9" t="n">
        <v>4.12</v>
      </c>
      <c r="Q41" s="5" t="n">
        <v>1.5</v>
      </c>
      <c r="R41" s="5" t="s">
        <v>53</v>
      </c>
      <c r="S41" s="5" t="s">
        <v>96</v>
      </c>
      <c r="T41" s="5" t="n">
        <v>33</v>
      </c>
      <c r="U41" s="5" t="s">
        <v>80</v>
      </c>
      <c r="V41" s="5" t="s">
        <v>246</v>
      </c>
    </row>
    <row r="42" customFormat="false" ht="15" hidden="false" customHeight="false" outlineLevel="0" collapsed="false">
      <c r="A42" s="5" t="n">
        <v>41</v>
      </c>
      <c r="B42" s="5" t="s">
        <v>247</v>
      </c>
      <c r="C42" s="6" t="s">
        <v>49</v>
      </c>
      <c r="D42" s="5" t="s">
        <v>227</v>
      </c>
      <c r="E42" s="5" t="s">
        <v>228</v>
      </c>
      <c r="F42" s="5" t="s">
        <v>76</v>
      </c>
      <c r="G42" s="5" t="s">
        <v>101</v>
      </c>
      <c r="H42" s="5" t="s">
        <v>248</v>
      </c>
      <c r="I42" s="5" t="s">
        <v>94</v>
      </c>
      <c r="J42" s="7" t="n">
        <v>14787</v>
      </c>
      <c r="K42" s="8" t="n">
        <v>9310</v>
      </c>
      <c r="L42" s="8" t="n">
        <v>90</v>
      </c>
      <c r="M42" s="8" t="n">
        <v>15305.47</v>
      </c>
      <c r="N42" s="8" t="n">
        <v>913693</v>
      </c>
      <c r="O42" s="5" t="n">
        <v>202.8</v>
      </c>
      <c r="P42" s="9" t="n">
        <v>16.18</v>
      </c>
      <c r="Q42" s="5" t="n">
        <v>1.37</v>
      </c>
      <c r="R42" s="5" t="s">
        <v>95</v>
      </c>
      <c r="S42" s="5" t="s">
        <v>184</v>
      </c>
      <c r="T42" s="5" t="n">
        <v>64</v>
      </c>
      <c r="U42" s="5" t="s">
        <v>80</v>
      </c>
      <c r="V42" s="5" t="s">
        <v>249</v>
      </c>
    </row>
    <row r="43" customFormat="false" ht="15" hidden="false" customHeight="false" outlineLevel="0" collapsed="false">
      <c r="A43" s="5" t="n">
        <v>42</v>
      </c>
      <c r="B43" s="5" t="s">
        <v>250</v>
      </c>
      <c r="C43" s="6" t="s">
        <v>49</v>
      </c>
      <c r="D43" s="5" t="s">
        <v>187</v>
      </c>
      <c r="E43" s="5" t="s">
        <v>188</v>
      </c>
      <c r="F43" s="5"/>
      <c r="G43" s="5"/>
      <c r="H43" s="5" t="s">
        <v>251</v>
      </c>
      <c r="I43" s="5"/>
      <c r="J43" s="7" t="n">
        <v>14451</v>
      </c>
      <c r="K43" s="8" t="n">
        <v>25900</v>
      </c>
      <c r="L43" s="8" t="n">
        <v>693</v>
      </c>
      <c r="M43" s="8" t="n">
        <v>3627</v>
      </c>
      <c r="N43" s="8" t="n">
        <v>9789445</v>
      </c>
      <c r="O43" s="5" t="n">
        <v>25.8</v>
      </c>
      <c r="P43" s="9" t="n">
        <v>1.48</v>
      </c>
      <c r="Q43" s="5" t="n">
        <v>0.33</v>
      </c>
      <c r="R43" s="5" t="s">
        <v>53</v>
      </c>
      <c r="S43" s="5" t="s">
        <v>65</v>
      </c>
      <c r="T43" s="5" t="n">
        <v>30</v>
      </c>
      <c r="U43" s="5" t="s">
        <v>55</v>
      </c>
      <c r="V43" s="5" t="s">
        <v>252</v>
      </c>
    </row>
    <row r="44" customFormat="false" ht="15" hidden="false" customHeight="false" outlineLevel="0" collapsed="false">
      <c r="A44" s="5" t="n">
        <v>43</v>
      </c>
      <c r="B44" s="5" t="s">
        <v>253</v>
      </c>
      <c r="C44" s="6" t="s">
        <v>49</v>
      </c>
      <c r="D44" s="5" t="s">
        <v>254</v>
      </c>
      <c r="E44" s="5" t="s">
        <v>255</v>
      </c>
      <c r="F44" s="5" t="s">
        <v>76</v>
      </c>
      <c r="G44" s="5" t="s">
        <v>101</v>
      </c>
      <c r="H44" s="5" t="s">
        <v>256</v>
      </c>
      <c r="I44" s="5" t="s">
        <v>78</v>
      </c>
      <c r="J44" s="7" t="n">
        <v>14071</v>
      </c>
      <c r="K44" s="8" t="n">
        <v>44700</v>
      </c>
      <c r="L44" s="8" t="n">
        <v>12</v>
      </c>
      <c r="M44" s="8" t="n">
        <v>555883.33</v>
      </c>
      <c r="N44" s="8" t="n">
        <v>2493694</v>
      </c>
      <c r="O44" s="5" t="n">
        <v>42.9</v>
      </c>
      <c r="P44" s="9" t="n">
        <v>5.64</v>
      </c>
      <c r="Q44" s="5" t="n">
        <v>25.3</v>
      </c>
      <c r="R44" s="5" t="s">
        <v>53</v>
      </c>
      <c r="S44" s="5" t="s">
        <v>103</v>
      </c>
      <c r="T44" s="5" t="n">
        <v>65</v>
      </c>
      <c r="U44" s="5" t="s">
        <v>80</v>
      </c>
      <c r="V44" s="5" t="s">
        <v>257</v>
      </c>
    </row>
    <row r="45" customFormat="false" ht="15" hidden="false" customHeight="false" outlineLevel="0" collapsed="false">
      <c r="A45" s="5" t="n">
        <v>44</v>
      </c>
      <c r="B45" s="5" t="s">
        <v>258</v>
      </c>
      <c r="C45" s="6" t="s">
        <v>49</v>
      </c>
      <c r="D45" s="5" t="s">
        <v>162</v>
      </c>
      <c r="E45" s="5" t="s">
        <v>163</v>
      </c>
      <c r="F45" s="5" t="s">
        <v>212</v>
      </c>
      <c r="G45" s="5" t="s">
        <v>213</v>
      </c>
      <c r="H45" s="5" t="s">
        <v>183</v>
      </c>
      <c r="I45" s="5" t="s">
        <v>122</v>
      </c>
      <c r="J45" s="7" t="n">
        <v>13752</v>
      </c>
      <c r="K45" s="8" t="n">
        <v>41400</v>
      </c>
      <c r="L45" s="8" t="n">
        <v>288</v>
      </c>
      <c r="M45" s="8" t="n">
        <v>69944.79</v>
      </c>
      <c r="N45" s="8" t="n">
        <v>7111630</v>
      </c>
      <c r="O45" s="5" t="n">
        <v>70.6</v>
      </c>
      <c r="P45" s="9" t="n">
        <v>1.93</v>
      </c>
      <c r="Q45" s="5" t="n">
        <v>4.85</v>
      </c>
      <c r="R45" s="5" t="s">
        <v>95</v>
      </c>
      <c r="S45" s="5" t="s">
        <v>165</v>
      </c>
      <c r="T45" s="5" t="n">
        <v>95</v>
      </c>
      <c r="U45" s="5" t="s">
        <v>80</v>
      </c>
      <c r="V45" s="5" t="s">
        <v>259</v>
      </c>
    </row>
    <row r="46" customFormat="false" ht="15" hidden="false" customHeight="false" outlineLevel="0" collapsed="false">
      <c r="A46" s="5" t="n">
        <v>45</v>
      </c>
      <c r="B46" s="5" t="s">
        <v>260</v>
      </c>
      <c r="C46" s="6" t="s">
        <v>49</v>
      </c>
      <c r="D46" s="5" t="s">
        <v>170</v>
      </c>
      <c r="E46" s="5" t="s">
        <v>171</v>
      </c>
      <c r="F46" s="5" t="s">
        <v>76</v>
      </c>
      <c r="G46" s="5" t="s">
        <v>101</v>
      </c>
      <c r="H46" s="5" t="s">
        <v>115</v>
      </c>
      <c r="I46" s="5" t="s">
        <v>94</v>
      </c>
      <c r="J46" s="7" t="n">
        <v>13716</v>
      </c>
      <c r="K46" s="8" t="n">
        <v>7720</v>
      </c>
      <c r="L46" s="8" t="n">
        <v>50</v>
      </c>
      <c r="M46" s="8" t="n">
        <v>127797</v>
      </c>
      <c r="N46" s="8" t="n">
        <v>2291994</v>
      </c>
      <c r="O46" s="5" t="n">
        <v>79.8</v>
      </c>
      <c r="P46" s="9" t="n">
        <v>5.98</v>
      </c>
      <c r="Q46" s="5" t="n">
        <v>19.41</v>
      </c>
      <c r="R46" s="5" t="s">
        <v>53</v>
      </c>
      <c r="S46" s="5" t="s">
        <v>79</v>
      </c>
      <c r="T46" s="5" t="n">
        <v>96</v>
      </c>
      <c r="U46" s="5" t="s">
        <v>80</v>
      </c>
      <c r="V46" s="5" t="s">
        <v>261</v>
      </c>
    </row>
    <row r="47" customFormat="false" ht="15" hidden="false" customHeight="false" outlineLevel="0" collapsed="false">
      <c r="A47" s="5" t="n">
        <v>46</v>
      </c>
      <c r="B47" s="5" t="s">
        <v>262</v>
      </c>
      <c r="C47" s="6" t="s">
        <v>49</v>
      </c>
      <c r="D47" s="5" t="s">
        <v>263</v>
      </c>
      <c r="E47" s="5" t="s">
        <v>264</v>
      </c>
      <c r="F47" s="5" t="s">
        <v>76</v>
      </c>
      <c r="G47" s="5" t="s">
        <v>157</v>
      </c>
      <c r="H47" s="5" t="s">
        <v>265</v>
      </c>
      <c r="I47" s="5" t="s">
        <v>94</v>
      </c>
      <c r="J47" s="7" t="n">
        <v>13689</v>
      </c>
      <c r="K47" s="8" t="n">
        <v>20400</v>
      </c>
      <c r="L47" s="8" t="n">
        <v>30</v>
      </c>
      <c r="M47" s="8" t="n">
        <v>219391.67</v>
      </c>
      <c r="N47" s="8" t="n">
        <v>2400032</v>
      </c>
      <c r="O47" s="5" t="n">
        <v>53</v>
      </c>
      <c r="P47" s="9" t="n">
        <v>5.7</v>
      </c>
      <c r="Q47" s="5" t="n">
        <v>6.9</v>
      </c>
      <c r="R47" s="5" t="s">
        <v>53</v>
      </c>
      <c r="S47" s="5" t="s">
        <v>103</v>
      </c>
      <c r="T47" s="5" t="n">
        <v>65</v>
      </c>
      <c r="U47" s="5" t="s">
        <v>80</v>
      </c>
      <c r="V47" s="5" t="s">
        <v>266</v>
      </c>
    </row>
    <row r="48" customFormat="false" ht="15" hidden="false" customHeight="false" outlineLevel="0" collapsed="false">
      <c r="A48" s="5" t="n">
        <v>47</v>
      </c>
      <c r="B48" s="5" t="s">
        <v>267</v>
      </c>
      <c r="C48" s="6" t="s">
        <v>49</v>
      </c>
      <c r="D48" s="5" t="s">
        <v>187</v>
      </c>
      <c r="E48" s="5" t="s">
        <v>188</v>
      </c>
      <c r="F48" s="5" t="s">
        <v>76</v>
      </c>
      <c r="G48" s="5" t="s">
        <v>101</v>
      </c>
      <c r="H48" s="5" t="s">
        <v>265</v>
      </c>
      <c r="I48" s="5" t="s">
        <v>94</v>
      </c>
      <c r="J48" s="7" t="n">
        <v>13433</v>
      </c>
      <c r="K48" s="8" t="n">
        <v>11300</v>
      </c>
      <c r="L48" s="8" t="n">
        <v>48</v>
      </c>
      <c r="M48" s="8" t="n">
        <v>55161.33</v>
      </c>
      <c r="N48" s="8" t="n">
        <v>2342740</v>
      </c>
      <c r="O48" s="5" t="n">
        <v>19.6</v>
      </c>
      <c r="P48" s="9" t="n">
        <v>5.73</v>
      </c>
      <c r="Q48" s="5" t="n">
        <v>0.95</v>
      </c>
      <c r="R48" s="5" t="s">
        <v>53</v>
      </c>
      <c r="S48" s="5" t="s">
        <v>184</v>
      </c>
      <c r="T48" s="5" t="n">
        <v>64</v>
      </c>
      <c r="U48" s="5" t="s">
        <v>80</v>
      </c>
      <c r="V48" s="5" t="s">
        <v>268</v>
      </c>
    </row>
    <row r="49" customFormat="false" ht="15" hidden="false" customHeight="false" outlineLevel="0" collapsed="false">
      <c r="A49" s="5" t="n">
        <v>48</v>
      </c>
      <c r="B49" s="5" t="s">
        <v>269</v>
      </c>
      <c r="C49" s="6" t="s">
        <v>49</v>
      </c>
      <c r="D49" s="5" t="s">
        <v>270</v>
      </c>
      <c r="E49" s="5" t="s">
        <v>271</v>
      </c>
      <c r="F49" s="5" t="s">
        <v>76</v>
      </c>
      <c r="G49" s="5"/>
      <c r="H49" s="5" t="s">
        <v>214</v>
      </c>
      <c r="I49" s="5" t="s">
        <v>94</v>
      </c>
      <c r="J49" s="7" t="n">
        <v>13407</v>
      </c>
      <c r="K49" s="8" t="n">
        <v>7790</v>
      </c>
      <c r="L49" s="8" t="n">
        <v>91</v>
      </c>
      <c r="M49" s="8" t="n">
        <v>43515.53</v>
      </c>
      <c r="N49" s="8" t="n">
        <v>3477650</v>
      </c>
      <c r="O49" s="5" t="n">
        <v>17.2</v>
      </c>
      <c r="P49" s="9" t="n">
        <v>3.86</v>
      </c>
      <c r="Q49" s="5" t="n">
        <v>0.62</v>
      </c>
      <c r="R49" s="5" t="s">
        <v>95</v>
      </c>
      <c r="S49" s="5" t="s">
        <v>103</v>
      </c>
      <c r="T49" s="5" t="n">
        <v>65</v>
      </c>
      <c r="U49" s="5" t="s">
        <v>80</v>
      </c>
      <c r="V49" s="5" t="s">
        <v>272</v>
      </c>
    </row>
    <row r="50" customFormat="false" ht="15" hidden="false" customHeight="false" outlineLevel="0" collapsed="false">
      <c r="A50" s="5" t="n">
        <v>49</v>
      </c>
      <c r="B50" s="5" t="s">
        <v>273</v>
      </c>
      <c r="C50" s="6" t="s">
        <v>49</v>
      </c>
      <c r="D50" s="5" t="s">
        <v>274</v>
      </c>
      <c r="E50" s="5" t="s">
        <v>275</v>
      </c>
      <c r="F50" s="5" t="s">
        <v>76</v>
      </c>
      <c r="G50" s="5" t="s">
        <v>101</v>
      </c>
      <c r="H50" s="5" t="s">
        <v>276</v>
      </c>
      <c r="I50" s="5" t="s">
        <v>78</v>
      </c>
      <c r="J50" s="7" t="n">
        <v>13383</v>
      </c>
      <c r="K50" s="8" t="n">
        <v>6950</v>
      </c>
      <c r="L50" s="8" t="n">
        <v>59</v>
      </c>
      <c r="M50" s="8" t="n">
        <v>68579.25</v>
      </c>
      <c r="N50" s="8" t="n">
        <v>3510313</v>
      </c>
      <c r="O50" s="5" t="n">
        <v>22.2</v>
      </c>
      <c r="P50" s="9" t="n">
        <v>3.81</v>
      </c>
      <c r="Q50" s="5" t="n">
        <v>5.29</v>
      </c>
      <c r="R50" s="5" t="s">
        <v>53</v>
      </c>
      <c r="S50" s="5" t="s">
        <v>96</v>
      </c>
      <c r="T50" s="5" t="n">
        <v>33</v>
      </c>
      <c r="U50" s="5" t="s">
        <v>80</v>
      </c>
      <c r="V50" s="5" t="s">
        <v>277</v>
      </c>
    </row>
    <row r="51" customFormat="false" ht="15" hidden="false" customHeight="false" outlineLevel="0" collapsed="false">
      <c r="A51" s="5" t="n">
        <v>50</v>
      </c>
      <c r="B51" s="5" t="s">
        <v>278</v>
      </c>
      <c r="C51" s="6" t="s">
        <v>49</v>
      </c>
      <c r="D51" s="5" t="s">
        <v>99</v>
      </c>
      <c r="E51" s="5" t="s">
        <v>100</v>
      </c>
      <c r="F51" s="5" t="s">
        <v>76</v>
      </c>
      <c r="G51" s="5" t="s">
        <v>101</v>
      </c>
      <c r="H51" s="5" t="s">
        <v>279</v>
      </c>
      <c r="I51" s="5" t="s">
        <v>94</v>
      </c>
      <c r="J51" s="7" t="n">
        <v>13326</v>
      </c>
      <c r="K51" s="8" t="n">
        <v>14800</v>
      </c>
      <c r="L51" s="8" t="n">
        <v>82</v>
      </c>
      <c r="M51" s="8" t="n">
        <v>73296.91</v>
      </c>
      <c r="N51" s="8" t="n">
        <v>2366773</v>
      </c>
      <c r="O51" s="5" t="n">
        <v>20.5</v>
      </c>
      <c r="P51" s="9" t="n">
        <v>5.63</v>
      </c>
      <c r="Q51" s="5" t="n">
        <v>1.45</v>
      </c>
      <c r="R51" s="5" t="s">
        <v>95</v>
      </c>
      <c r="S51" s="5" t="s">
        <v>116</v>
      </c>
      <c r="T51" s="5" t="n">
        <v>126</v>
      </c>
      <c r="U51" s="5" t="s">
        <v>80</v>
      </c>
      <c r="V51" s="5" t="s">
        <v>280</v>
      </c>
    </row>
    <row r="52" customFormat="false" ht="15" hidden="false" customHeight="false" outlineLevel="0" collapsed="false">
      <c r="A52" s="5" t="n">
        <v>51</v>
      </c>
      <c r="B52" s="5" t="s">
        <v>281</v>
      </c>
      <c r="C52" s="6" t="s">
        <v>49</v>
      </c>
      <c r="D52" s="5" t="s">
        <v>282</v>
      </c>
      <c r="E52" s="5" t="s">
        <v>283</v>
      </c>
      <c r="F52" s="5" t="s">
        <v>76</v>
      </c>
      <c r="G52" s="5" t="s">
        <v>101</v>
      </c>
      <c r="H52" s="5" t="s">
        <v>284</v>
      </c>
      <c r="I52" s="5" t="s">
        <v>94</v>
      </c>
      <c r="J52" s="7" t="n">
        <v>13270</v>
      </c>
      <c r="K52" s="8" t="n">
        <v>22600</v>
      </c>
      <c r="L52" s="8" t="n">
        <v>11</v>
      </c>
      <c r="M52" s="8" t="n">
        <v>820909.09</v>
      </c>
      <c r="N52" s="8" t="n">
        <v>6093731</v>
      </c>
      <c r="O52" s="5" t="n">
        <v>16.5</v>
      </c>
      <c r="P52" s="9" t="n">
        <v>2.18</v>
      </c>
      <c r="Q52" s="5" t="n">
        <v>80.8</v>
      </c>
      <c r="R52" s="5" t="s">
        <v>53</v>
      </c>
      <c r="S52" s="5" t="s">
        <v>184</v>
      </c>
      <c r="T52" s="5" t="n">
        <v>64</v>
      </c>
      <c r="U52" s="5" t="s">
        <v>80</v>
      </c>
      <c r="V52" s="5" t="s">
        <v>285</v>
      </c>
    </row>
    <row r="53" customFormat="false" ht="15" hidden="false" customHeight="false" outlineLevel="0" collapsed="false">
      <c r="A53" s="5" t="n">
        <v>52</v>
      </c>
      <c r="B53" s="5" t="s">
        <v>286</v>
      </c>
      <c r="C53" s="6" t="s">
        <v>49</v>
      </c>
      <c r="D53" s="5" t="s">
        <v>287</v>
      </c>
      <c r="E53" s="5" t="s">
        <v>288</v>
      </c>
      <c r="F53" s="5" t="s">
        <v>76</v>
      </c>
      <c r="G53" s="5" t="s">
        <v>101</v>
      </c>
      <c r="H53" s="5" t="s">
        <v>289</v>
      </c>
      <c r="I53" s="5" t="s">
        <v>290</v>
      </c>
      <c r="J53" s="7" t="n">
        <v>13119</v>
      </c>
      <c r="K53" s="8" t="n">
        <v>3080</v>
      </c>
      <c r="L53" s="8" t="n">
        <v>6</v>
      </c>
      <c r="M53" s="8" t="n">
        <v>713183.33</v>
      </c>
      <c r="N53" s="8" t="n">
        <v>4690553</v>
      </c>
      <c r="O53" s="5" t="n">
        <v>3</v>
      </c>
      <c r="P53" s="9" t="n">
        <v>2.8</v>
      </c>
      <c r="Q53" s="5" t="n">
        <v>24.41</v>
      </c>
      <c r="R53" s="5" t="s">
        <v>53</v>
      </c>
      <c r="S53" s="5" t="s">
        <v>96</v>
      </c>
      <c r="T53" s="5" t="n">
        <v>33</v>
      </c>
      <c r="U53" s="5" t="s">
        <v>80</v>
      </c>
      <c r="V53" s="5" t="s">
        <v>291</v>
      </c>
    </row>
    <row r="54" customFormat="false" ht="15" hidden="false" customHeight="false" outlineLevel="0" collapsed="false">
      <c r="A54" s="5" t="n">
        <v>53</v>
      </c>
      <c r="B54" s="5" t="s">
        <v>292</v>
      </c>
      <c r="C54" s="6" t="s">
        <v>49</v>
      </c>
      <c r="D54" s="5" t="s">
        <v>129</v>
      </c>
      <c r="E54" s="5" t="s">
        <v>130</v>
      </c>
      <c r="F54" s="5" t="s">
        <v>76</v>
      </c>
      <c r="G54" s="5" t="s">
        <v>101</v>
      </c>
      <c r="H54" s="5" t="s">
        <v>131</v>
      </c>
      <c r="I54" s="5" t="s">
        <v>94</v>
      </c>
      <c r="J54" s="7" t="n">
        <v>13044</v>
      </c>
      <c r="K54" s="8" t="n">
        <v>1830</v>
      </c>
      <c r="L54" s="8" t="n">
        <v>34</v>
      </c>
      <c r="M54" s="8" t="n">
        <v>27970.59</v>
      </c>
      <c r="N54" s="8" t="n">
        <v>1142251</v>
      </c>
      <c r="O54" s="5" t="n">
        <v>152.5</v>
      </c>
      <c r="P54" s="9" t="n">
        <v>11.42</v>
      </c>
      <c r="Q54" s="5" t="n">
        <v>3.82</v>
      </c>
      <c r="R54" s="5" t="s">
        <v>53</v>
      </c>
      <c r="S54" s="5" t="s">
        <v>293</v>
      </c>
      <c r="T54" s="5" t="n">
        <v>32</v>
      </c>
      <c r="U54" s="5" t="s">
        <v>80</v>
      </c>
      <c r="V54" s="5" t="s">
        <v>294</v>
      </c>
    </row>
    <row r="55" customFormat="false" ht="15" hidden="false" customHeight="false" outlineLevel="0" collapsed="false">
      <c r="A55" s="5" t="n">
        <v>54</v>
      </c>
      <c r="B55" s="5" t="s">
        <v>295</v>
      </c>
      <c r="C55" s="6" t="s">
        <v>49</v>
      </c>
      <c r="D55" s="5" t="s">
        <v>200</v>
      </c>
      <c r="E55" s="5" t="s">
        <v>201</v>
      </c>
      <c r="F55" s="5" t="s">
        <v>76</v>
      </c>
      <c r="G55" s="5" t="s">
        <v>101</v>
      </c>
      <c r="H55" s="5" t="s">
        <v>296</v>
      </c>
      <c r="I55" s="5" t="s">
        <v>296</v>
      </c>
      <c r="J55" s="7" t="n">
        <v>12635</v>
      </c>
      <c r="K55" s="8" t="n">
        <v>9800</v>
      </c>
      <c r="L55" s="8" t="n">
        <v>58</v>
      </c>
      <c r="M55" s="8" t="n">
        <v>98096.55</v>
      </c>
      <c r="N55" s="8" t="n">
        <v>3937851</v>
      </c>
      <c r="O55" s="5" t="n">
        <v>10.8</v>
      </c>
      <c r="P55" s="9" t="n">
        <v>3.21</v>
      </c>
      <c r="Q55" s="5" t="n">
        <v>10.44</v>
      </c>
      <c r="R55" s="5" t="s">
        <v>53</v>
      </c>
      <c r="S55" s="5" t="s">
        <v>103</v>
      </c>
      <c r="T55" s="5" t="n">
        <v>65</v>
      </c>
      <c r="U55" s="5" t="s">
        <v>80</v>
      </c>
      <c r="V55" s="5" t="s">
        <v>297</v>
      </c>
    </row>
    <row r="56" customFormat="false" ht="15" hidden="false" customHeight="false" outlineLevel="0" collapsed="false">
      <c r="A56" s="5" t="n">
        <v>55</v>
      </c>
      <c r="B56" s="5" t="s">
        <v>298</v>
      </c>
      <c r="C56" s="6" t="s">
        <v>49</v>
      </c>
      <c r="D56" s="5" t="s">
        <v>162</v>
      </c>
      <c r="E56" s="5" t="s">
        <v>163</v>
      </c>
      <c r="F56" s="5" t="s">
        <v>156</v>
      </c>
      <c r="G56" s="5" t="s">
        <v>101</v>
      </c>
      <c r="H56" s="5" t="s">
        <v>299</v>
      </c>
      <c r="I56" s="5" t="s">
        <v>300</v>
      </c>
      <c r="J56" s="7" t="n">
        <v>12304</v>
      </c>
      <c r="K56" s="8" t="n">
        <v>15300</v>
      </c>
      <c r="L56" s="8" t="n">
        <v>76</v>
      </c>
      <c r="M56" s="8" t="n">
        <v>22749.04</v>
      </c>
      <c r="N56" s="8" t="n">
        <v>1444853</v>
      </c>
      <c r="O56" s="5" t="n">
        <v>137.1</v>
      </c>
      <c r="P56" s="9" t="n">
        <v>8.52</v>
      </c>
      <c r="Q56" s="5" t="n">
        <v>0.82</v>
      </c>
      <c r="R56" s="5" t="s">
        <v>53</v>
      </c>
      <c r="S56" s="5" t="s">
        <v>96</v>
      </c>
      <c r="T56" s="5" t="n">
        <v>33</v>
      </c>
      <c r="U56" s="5" t="s">
        <v>80</v>
      </c>
      <c r="V56" s="5" t="s">
        <v>301</v>
      </c>
    </row>
    <row r="57" customFormat="false" ht="15" hidden="false" customHeight="false" outlineLevel="0" collapsed="false">
      <c r="A57" s="5" t="n">
        <v>56</v>
      </c>
      <c r="B57" s="5" t="s">
        <v>302</v>
      </c>
      <c r="C57" s="6" t="s">
        <v>49</v>
      </c>
      <c r="D57" s="5" t="s">
        <v>303</v>
      </c>
      <c r="E57" s="5" t="s">
        <v>304</v>
      </c>
      <c r="F57" s="5" t="s">
        <v>76</v>
      </c>
      <c r="G57" s="5"/>
      <c r="H57" s="5" t="s">
        <v>77</v>
      </c>
      <c r="I57" s="5" t="s">
        <v>78</v>
      </c>
      <c r="J57" s="7" t="n">
        <v>12262</v>
      </c>
      <c r="K57" s="8" t="n">
        <v>2490</v>
      </c>
      <c r="L57" s="8" t="n">
        <v>43</v>
      </c>
      <c r="M57" s="8" t="n">
        <v>71420.74</v>
      </c>
      <c r="N57" s="8" t="n">
        <v>3102024</v>
      </c>
      <c r="O57" s="5" t="n">
        <v>21.7</v>
      </c>
      <c r="P57" s="9" t="n">
        <v>3.95</v>
      </c>
      <c r="Q57" s="5" t="n">
        <v>4.12</v>
      </c>
      <c r="R57" s="5" t="s">
        <v>53</v>
      </c>
      <c r="S57" s="5" t="s">
        <v>96</v>
      </c>
      <c r="T57" s="5" t="n">
        <v>33</v>
      </c>
      <c r="U57" s="5" t="s">
        <v>80</v>
      </c>
      <c r="V57" s="5" t="s">
        <v>305</v>
      </c>
    </row>
    <row r="58" customFormat="false" ht="15" hidden="false" customHeight="false" outlineLevel="0" collapsed="false">
      <c r="A58" s="5" t="n">
        <v>57</v>
      </c>
      <c r="B58" s="5" t="s">
        <v>306</v>
      </c>
      <c r="C58" s="6" t="s">
        <v>49</v>
      </c>
      <c r="D58" s="5" t="s">
        <v>307</v>
      </c>
      <c r="E58" s="5" t="s">
        <v>308</v>
      </c>
      <c r="F58" s="5" t="s">
        <v>76</v>
      </c>
      <c r="G58" s="5" t="s">
        <v>309</v>
      </c>
      <c r="H58" s="5" t="s">
        <v>310</v>
      </c>
      <c r="I58" s="5" t="s">
        <v>296</v>
      </c>
      <c r="J58" s="7" t="n">
        <v>12256</v>
      </c>
      <c r="K58" s="8" t="n">
        <v>3370</v>
      </c>
      <c r="L58" s="8" t="n">
        <v>51</v>
      </c>
      <c r="M58" s="8" t="n">
        <v>30151.88</v>
      </c>
      <c r="N58" s="8" t="n">
        <v>1924503</v>
      </c>
      <c r="O58" s="5" t="n">
        <v>26</v>
      </c>
      <c r="P58" s="9" t="n">
        <v>6.37</v>
      </c>
      <c r="Q58" s="5" t="n">
        <v>5.88</v>
      </c>
      <c r="R58" s="5" t="s">
        <v>53</v>
      </c>
      <c r="S58" s="5" t="s">
        <v>311</v>
      </c>
      <c r="T58" s="5" t="n">
        <v>63</v>
      </c>
      <c r="U58" s="5" t="s">
        <v>80</v>
      </c>
      <c r="V58" s="5" t="s">
        <v>312</v>
      </c>
    </row>
    <row r="59" customFormat="false" ht="15" hidden="false" customHeight="false" outlineLevel="0" collapsed="false">
      <c r="A59" s="5" t="n">
        <v>58</v>
      </c>
      <c r="B59" s="5" t="s">
        <v>313</v>
      </c>
      <c r="C59" s="6" t="s">
        <v>49</v>
      </c>
      <c r="D59" s="5" t="s">
        <v>314</v>
      </c>
      <c r="E59" s="5" t="s">
        <v>315</v>
      </c>
      <c r="F59" s="5" t="s">
        <v>76</v>
      </c>
      <c r="G59" s="5" t="s">
        <v>101</v>
      </c>
      <c r="H59" s="5" t="s">
        <v>316</v>
      </c>
      <c r="I59" s="5" t="s">
        <v>94</v>
      </c>
      <c r="J59" s="7" t="n">
        <v>12139</v>
      </c>
      <c r="K59" s="8" t="n">
        <v>11900</v>
      </c>
      <c r="L59" s="8" t="n">
        <v>8</v>
      </c>
      <c r="M59" s="8" t="n">
        <v>637075</v>
      </c>
      <c r="N59" s="8" t="n">
        <v>4937932</v>
      </c>
      <c r="O59" s="5" t="n">
        <v>20.8</v>
      </c>
      <c r="P59" s="9" t="n">
        <v>2.46</v>
      </c>
      <c r="Q59" s="5" t="n">
        <v>10.9</v>
      </c>
      <c r="R59" s="5" t="s">
        <v>53</v>
      </c>
      <c r="S59" s="5" t="s">
        <v>96</v>
      </c>
      <c r="T59" s="5" t="n">
        <v>33</v>
      </c>
      <c r="U59" s="5" t="s">
        <v>80</v>
      </c>
      <c r="V59" s="5" t="s">
        <v>317</v>
      </c>
    </row>
    <row r="60" customFormat="false" ht="15" hidden="false" customHeight="false" outlineLevel="0" collapsed="false">
      <c r="A60" s="5" t="n">
        <v>59</v>
      </c>
      <c r="B60" s="5" t="s">
        <v>318</v>
      </c>
      <c r="C60" s="6" t="s">
        <v>49</v>
      </c>
      <c r="D60" s="5" t="s">
        <v>319</v>
      </c>
      <c r="E60" s="5" t="s">
        <v>320</v>
      </c>
      <c r="F60" s="5" t="s">
        <v>76</v>
      </c>
      <c r="G60" s="5" t="s">
        <v>321</v>
      </c>
      <c r="H60" s="5" t="s">
        <v>131</v>
      </c>
      <c r="I60" s="5" t="s">
        <v>94</v>
      </c>
      <c r="J60" s="7" t="n">
        <v>12117</v>
      </c>
      <c r="K60" s="8" t="n">
        <v>4940</v>
      </c>
      <c r="L60" s="8" t="n">
        <v>9</v>
      </c>
      <c r="M60" s="8" t="n">
        <v>217700</v>
      </c>
      <c r="N60" s="8" t="n">
        <v>1851250</v>
      </c>
      <c r="O60" s="5" t="n">
        <v>30.6</v>
      </c>
      <c r="P60" s="9" t="n">
        <v>6.55</v>
      </c>
      <c r="Q60" s="5" t="n">
        <v>10.59</v>
      </c>
      <c r="R60" s="5" t="s">
        <v>53</v>
      </c>
      <c r="S60" s="5" t="s">
        <v>96</v>
      </c>
      <c r="T60" s="5" t="n">
        <v>33</v>
      </c>
      <c r="U60" s="5" t="s">
        <v>80</v>
      </c>
      <c r="V60" s="5" t="s">
        <v>322</v>
      </c>
    </row>
    <row r="61" customFormat="false" ht="15" hidden="false" customHeight="false" outlineLevel="0" collapsed="false">
      <c r="A61" s="5" t="n">
        <v>60</v>
      </c>
      <c r="B61" s="5" t="s">
        <v>323</v>
      </c>
      <c r="C61" s="6" t="s">
        <v>49</v>
      </c>
      <c r="D61" s="5" t="s">
        <v>319</v>
      </c>
      <c r="E61" s="5" t="s">
        <v>320</v>
      </c>
      <c r="F61" s="5" t="s">
        <v>76</v>
      </c>
      <c r="G61" s="5" t="s">
        <v>324</v>
      </c>
      <c r="H61" s="5" t="s">
        <v>193</v>
      </c>
      <c r="I61" s="5" t="s">
        <v>325</v>
      </c>
      <c r="J61" s="7" t="n">
        <v>12044</v>
      </c>
      <c r="K61" s="8" t="n">
        <v>9090</v>
      </c>
      <c r="L61" s="8" t="n">
        <v>75</v>
      </c>
      <c r="M61" s="8" t="n">
        <v>36694.49</v>
      </c>
      <c r="N61" s="8" t="n">
        <v>1986343</v>
      </c>
      <c r="O61" s="5" t="n">
        <v>60.5</v>
      </c>
      <c r="P61" s="9" t="n">
        <v>6.06</v>
      </c>
      <c r="Q61" s="5" t="n">
        <v>4.41</v>
      </c>
      <c r="R61" s="5" t="s">
        <v>53</v>
      </c>
      <c r="S61" s="5" t="s">
        <v>103</v>
      </c>
      <c r="T61" s="5" t="n">
        <v>65</v>
      </c>
      <c r="U61" s="5" t="s">
        <v>80</v>
      </c>
      <c r="V61" s="5" t="s">
        <v>326</v>
      </c>
    </row>
    <row r="62" customFormat="false" ht="15" hidden="false" customHeight="false" outlineLevel="0" collapsed="false">
      <c r="A62" s="5" t="n">
        <v>61</v>
      </c>
      <c r="B62" s="5" t="s">
        <v>327</v>
      </c>
      <c r="C62" s="6" t="s">
        <v>49</v>
      </c>
      <c r="D62" s="5" t="s">
        <v>187</v>
      </c>
      <c r="E62" s="5" t="s">
        <v>188</v>
      </c>
      <c r="F62" s="5" t="s">
        <v>76</v>
      </c>
      <c r="G62" s="5" t="s">
        <v>101</v>
      </c>
      <c r="H62" s="5" t="s">
        <v>328</v>
      </c>
      <c r="I62" s="5" t="s">
        <v>122</v>
      </c>
      <c r="J62" s="7" t="n">
        <v>11797</v>
      </c>
      <c r="K62" s="8" t="n">
        <v>8720</v>
      </c>
      <c r="L62" s="8" t="n">
        <v>111</v>
      </c>
      <c r="M62" s="8" t="n">
        <v>29995.5</v>
      </c>
      <c r="N62" s="8" t="n">
        <v>3129224</v>
      </c>
      <c r="O62" s="5" t="n">
        <v>36.1</v>
      </c>
      <c r="P62" s="9" t="n">
        <v>3.77</v>
      </c>
      <c r="Q62" s="5" t="n">
        <v>5</v>
      </c>
      <c r="R62" s="5" t="s">
        <v>95</v>
      </c>
      <c r="S62" s="5" t="s">
        <v>96</v>
      </c>
      <c r="T62" s="5" t="n">
        <v>33</v>
      </c>
      <c r="U62" s="5" t="s">
        <v>80</v>
      </c>
      <c r="V62" s="5" t="s">
        <v>329</v>
      </c>
    </row>
    <row r="63" customFormat="false" ht="15" hidden="false" customHeight="false" outlineLevel="0" collapsed="false">
      <c r="A63" s="5" t="n">
        <v>62</v>
      </c>
      <c r="B63" s="5" t="s">
        <v>330</v>
      </c>
      <c r="C63" s="6" t="s">
        <v>49</v>
      </c>
      <c r="D63" s="5" t="s">
        <v>331</v>
      </c>
      <c r="E63" s="5" t="s">
        <v>332</v>
      </c>
      <c r="F63" s="5" t="s">
        <v>76</v>
      </c>
      <c r="G63" s="5" t="s">
        <v>101</v>
      </c>
      <c r="H63" s="5" t="s">
        <v>333</v>
      </c>
      <c r="I63" s="5" t="s">
        <v>78</v>
      </c>
      <c r="J63" s="7" t="n">
        <v>11594</v>
      </c>
      <c r="K63" s="8" t="n">
        <v>1790</v>
      </c>
      <c r="L63" s="8" t="n">
        <v>3</v>
      </c>
      <c r="M63" s="8" t="n">
        <v>692733.33</v>
      </c>
      <c r="N63" s="8" t="n">
        <v>3559252</v>
      </c>
      <c r="O63" s="5" t="n">
        <v>25.8</v>
      </c>
      <c r="P63" s="9" t="n">
        <v>3.26</v>
      </c>
      <c r="Q63" s="5" t="n">
        <v>50.29</v>
      </c>
      <c r="R63" s="5" t="s">
        <v>53</v>
      </c>
      <c r="S63" s="5" t="s">
        <v>334</v>
      </c>
      <c r="T63" s="5" t="n">
        <v>17</v>
      </c>
      <c r="U63" s="5" t="s">
        <v>80</v>
      </c>
      <c r="V63" s="5" t="s">
        <v>335</v>
      </c>
    </row>
    <row r="64" customFormat="false" ht="15" hidden="false" customHeight="false" outlineLevel="0" collapsed="false">
      <c r="A64" s="5" t="n">
        <v>63</v>
      </c>
      <c r="B64" s="5" t="s">
        <v>336</v>
      </c>
      <c r="C64" s="6" t="s">
        <v>49</v>
      </c>
      <c r="D64" s="5" t="s">
        <v>337</v>
      </c>
      <c r="E64" s="5" t="s">
        <v>338</v>
      </c>
      <c r="F64" s="5" t="s">
        <v>76</v>
      </c>
      <c r="G64" s="5" t="s">
        <v>324</v>
      </c>
      <c r="H64" s="5" t="s">
        <v>339</v>
      </c>
      <c r="I64" s="5" t="s">
        <v>94</v>
      </c>
      <c r="J64" s="7" t="n">
        <v>11410</v>
      </c>
      <c r="K64" s="8" t="n">
        <v>19800</v>
      </c>
      <c r="L64" s="8" t="n">
        <v>8</v>
      </c>
      <c r="M64" s="8" t="n">
        <v>573250</v>
      </c>
      <c r="N64" s="8" t="n">
        <v>3880727</v>
      </c>
      <c r="O64" s="5" t="n">
        <v>11</v>
      </c>
      <c r="P64" s="9" t="n">
        <v>2.94</v>
      </c>
      <c r="Q64" s="5" t="n">
        <v>45.15</v>
      </c>
      <c r="R64" s="5" t="s">
        <v>53</v>
      </c>
      <c r="S64" s="5" t="s">
        <v>110</v>
      </c>
      <c r="T64" s="5" t="n">
        <v>34</v>
      </c>
      <c r="U64" s="5" t="s">
        <v>80</v>
      </c>
      <c r="V64" s="5" t="s">
        <v>340</v>
      </c>
    </row>
    <row r="65" customFormat="false" ht="15" hidden="false" customHeight="false" outlineLevel="0" collapsed="false">
      <c r="A65" s="5" t="n">
        <v>64</v>
      </c>
      <c r="B65" s="5" t="s">
        <v>341</v>
      </c>
      <c r="C65" s="6" t="s">
        <v>49</v>
      </c>
      <c r="D65" s="5" t="s">
        <v>342</v>
      </c>
      <c r="E65" s="5" t="s">
        <v>343</v>
      </c>
      <c r="F65" s="5" t="s">
        <v>76</v>
      </c>
      <c r="G65" s="5" t="s">
        <v>101</v>
      </c>
      <c r="H65" s="5" t="s">
        <v>310</v>
      </c>
      <c r="I65" s="5" t="s">
        <v>122</v>
      </c>
      <c r="J65" s="7" t="n">
        <v>11166</v>
      </c>
      <c r="K65" s="8" t="n">
        <v>3130</v>
      </c>
      <c r="L65" s="8" t="n">
        <v>42</v>
      </c>
      <c r="M65" s="8" t="n">
        <v>15701.76</v>
      </c>
      <c r="N65" s="8" t="n">
        <v>1027767</v>
      </c>
      <c r="O65" s="5" t="n">
        <v>66.8</v>
      </c>
      <c r="P65" s="9" t="n">
        <v>10.86</v>
      </c>
      <c r="Q65" s="5" t="n">
        <v>2.43</v>
      </c>
      <c r="R65" s="5" t="s">
        <v>95</v>
      </c>
      <c r="S65" s="5" t="s">
        <v>96</v>
      </c>
      <c r="T65" s="5" t="n">
        <v>33</v>
      </c>
      <c r="U65" s="5" t="s">
        <v>80</v>
      </c>
      <c r="V65" s="5" t="s">
        <v>344</v>
      </c>
    </row>
    <row r="66" customFormat="false" ht="15" hidden="false" customHeight="false" outlineLevel="0" collapsed="false">
      <c r="A66" s="5" t="n">
        <v>65</v>
      </c>
      <c r="B66" s="5" t="s">
        <v>345</v>
      </c>
      <c r="C66" s="6" t="s">
        <v>49</v>
      </c>
      <c r="D66" s="5" t="s">
        <v>231</v>
      </c>
      <c r="E66" s="5" t="s">
        <v>232</v>
      </c>
      <c r="F66" s="5" t="s">
        <v>76</v>
      </c>
      <c r="G66" s="5" t="s">
        <v>346</v>
      </c>
      <c r="H66" s="5" t="s">
        <v>220</v>
      </c>
      <c r="I66" s="5" t="s">
        <v>94</v>
      </c>
      <c r="J66" s="7" t="n">
        <v>11035</v>
      </c>
      <c r="K66" s="8" t="n">
        <v>15700</v>
      </c>
      <c r="L66" s="8" t="n">
        <v>62</v>
      </c>
      <c r="M66" s="8" t="n">
        <v>40540</v>
      </c>
      <c r="N66" s="8" t="n">
        <v>1305179</v>
      </c>
      <c r="O66" s="5" t="n">
        <v>36.2</v>
      </c>
      <c r="P66" s="9" t="n">
        <v>8.45</v>
      </c>
      <c r="Q66" s="5" t="n">
        <v>1.15</v>
      </c>
      <c r="R66" s="5" t="s">
        <v>53</v>
      </c>
      <c r="S66" s="5" t="s">
        <v>103</v>
      </c>
      <c r="T66" s="5" t="n">
        <v>65</v>
      </c>
      <c r="U66" s="5" t="s">
        <v>80</v>
      </c>
      <c r="V66" s="5" t="s">
        <v>347</v>
      </c>
    </row>
    <row r="67" customFormat="false" ht="15" hidden="false" customHeight="false" outlineLevel="0" collapsed="false">
      <c r="A67" s="5" t="n">
        <v>66</v>
      </c>
      <c r="B67" s="5" t="s">
        <v>348</v>
      </c>
      <c r="C67" s="6" t="s">
        <v>49</v>
      </c>
      <c r="D67" s="5" t="s">
        <v>270</v>
      </c>
      <c r="E67" s="5" t="s">
        <v>271</v>
      </c>
      <c r="F67" s="5" t="s">
        <v>76</v>
      </c>
      <c r="G67" s="5"/>
      <c r="H67" s="5" t="s">
        <v>102</v>
      </c>
      <c r="I67" s="5" t="s">
        <v>94</v>
      </c>
      <c r="J67" s="7" t="n">
        <v>10895</v>
      </c>
      <c r="K67" s="8" t="n">
        <v>5740</v>
      </c>
      <c r="L67" s="8" t="n">
        <v>37</v>
      </c>
      <c r="M67" s="8" t="n">
        <v>77727.03</v>
      </c>
      <c r="N67" s="8" t="n">
        <v>2218684</v>
      </c>
      <c r="O67" s="5" t="n">
        <v>17.4</v>
      </c>
      <c r="P67" s="9" t="n">
        <v>4.91</v>
      </c>
      <c r="Q67" s="5" t="n">
        <v>7.06</v>
      </c>
      <c r="R67" s="5" t="s">
        <v>53</v>
      </c>
      <c r="S67" s="5" t="s">
        <v>110</v>
      </c>
      <c r="T67" s="5" t="n">
        <v>34</v>
      </c>
      <c r="U67" s="5" t="s">
        <v>80</v>
      </c>
      <c r="V67" s="5" t="s">
        <v>349</v>
      </c>
    </row>
    <row r="68" customFormat="false" ht="15" hidden="false" customHeight="false" outlineLevel="0" collapsed="false">
      <c r="A68" s="5" t="n">
        <v>67</v>
      </c>
      <c r="B68" s="5" t="s">
        <v>350</v>
      </c>
      <c r="C68" s="6" t="s">
        <v>49</v>
      </c>
      <c r="D68" s="5" t="s">
        <v>351</v>
      </c>
      <c r="E68" s="5" t="s">
        <v>352</v>
      </c>
      <c r="F68" s="5" t="s">
        <v>212</v>
      </c>
      <c r="G68" s="5" t="s">
        <v>213</v>
      </c>
      <c r="H68" s="5" t="s">
        <v>353</v>
      </c>
      <c r="I68" s="5" t="s">
        <v>78</v>
      </c>
      <c r="J68" s="7" t="n">
        <v>10801</v>
      </c>
      <c r="K68" s="8" t="n">
        <v>4870</v>
      </c>
      <c r="L68" s="8" t="n">
        <v>51</v>
      </c>
      <c r="M68" s="8" t="n">
        <v>79912.33</v>
      </c>
      <c r="N68" s="8" t="n">
        <v>1965273</v>
      </c>
      <c r="O68" s="5" t="n">
        <v>28.6</v>
      </c>
      <c r="P68" s="9" t="n">
        <v>5.5</v>
      </c>
      <c r="Q68" s="5" t="n">
        <v>0.74</v>
      </c>
      <c r="R68" s="5" t="s">
        <v>53</v>
      </c>
      <c r="S68" s="5" t="s">
        <v>96</v>
      </c>
      <c r="T68" s="5" t="n">
        <v>33</v>
      </c>
      <c r="U68" s="5" t="s">
        <v>80</v>
      </c>
      <c r="V68" s="5" t="s">
        <v>354</v>
      </c>
    </row>
    <row r="69" customFormat="false" ht="15" hidden="false" customHeight="false" outlineLevel="0" collapsed="false">
      <c r="A69" s="5" t="n">
        <v>68</v>
      </c>
      <c r="B69" s="5" t="s">
        <v>355</v>
      </c>
      <c r="C69" s="6" t="s">
        <v>49</v>
      </c>
      <c r="D69" s="5" t="s">
        <v>187</v>
      </c>
      <c r="E69" s="5" t="s">
        <v>188</v>
      </c>
      <c r="F69" s="5" t="s">
        <v>76</v>
      </c>
      <c r="G69" s="5" t="s">
        <v>101</v>
      </c>
      <c r="H69" s="5" t="s">
        <v>183</v>
      </c>
      <c r="I69" s="5" t="s">
        <v>122</v>
      </c>
      <c r="J69" s="7" t="n">
        <v>10707</v>
      </c>
      <c r="K69" s="8" t="n">
        <v>13900</v>
      </c>
      <c r="L69" s="8" t="n">
        <v>44</v>
      </c>
      <c r="M69" s="8" t="n">
        <v>37095.45</v>
      </c>
      <c r="N69" s="8" t="n">
        <v>968158</v>
      </c>
      <c r="O69" s="5" t="n">
        <v>55.6</v>
      </c>
      <c r="P69" s="9" t="n">
        <v>11.06</v>
      </c>
      <c r="Q69" s="5" t="n">
        <v>2.3</v>
      </c>
      <c r="R69" s="5" t="s">
        <v>95</v>
      </c>
      <c r="S69" s="5" t="s">
        <v>184</v>
      </c>
      <c r="T69" s="5" t="n">
        <v>64</v>
      </c>
      <c r="U69" s="5" t="s">
        <v>80</v>
      </c>
      <c r="V69" s="5" t="s">
        <v>356</v>
      </c>
    </row>
    <row r="70" customFormat="false" ht="15" hidden="false" customHeight="false" outlineLevel="0" collapsed="false">
      <c r="A70" s="5" t="n">
        <v>69</v>
      </c>
      <c r="B70" s="5" t="s">
        <v>357</v>
      </c>
      <c r="C70" s="6" t="s">
        <v>49</v>
      </c>
      <c r="D70" s="5" t="s">
        <v>282</v>
      </c>
      <c r="E70" s="5" t="s">
        <v>283</v>
      </c>
      <c r="F70" s="5" t="s">
        <v>76</v>
      </c>
      <c r="G70" s="5" t="s">
        <v>101</v>
      </c>
      <c r="H70" s="5" t="s">
        <v>284</v>
      </c>
      <c r="I70" s="5" t="s">
        <v>94</v>
      </c>
      <c r="J70" s="7" t="n">
        <v>10643</v>
      </c>
      <c r="K70" s="8" t="n">
        <v>33300</v>
      </c>
      <c r="L70" s="8" t="n">
        <v>104</v>
      </c>
      <c r="M70" s="8" t="n">
        <v>137995.29</v>
      </c>
      <c r="N70" s="8" t="n">
        <v>4329537</v>
      </c>
      <c r="O70" s="5" t="n">
        <v>26.7</v>
      </c>
      <c r="P70" s="9" t="n">
        <v>2.46</v>
      </c>
      <c r="Q70" s="5" t="n">
        <v>5.2</v>
      </c>
      <c r="R70" s="5" t="s">
        <v>95</v>
      </c>
      <c r="S70" s="5" t="s">
        <v>116</v>
      </c>
      <c r="T70" s="5" t="n">
        <v>126</v>
      </c>
      <c r="U70" s="5" t="s">
        <v>80</v>
      </c>
      <c r="V70" s="5" t="s">
        <v>358</v>
      </c>
    </row>
    <row r="71" customFormat="false" ht="15" hidden="false" customHeight="false" outlineLevel="0" collapsed="false">
      <c r="A71" s="5" t="n">
        <v>70</v>
      </c>
      <c r="B71" s="5" t="s">
        <v>359</v>
      </c>
      <c r="C71" s="6" t="s">
        <v>49</v>
      </c>
      <c r="D71" s="5" t="s">
        <v>162</v>
      </c>
      <c r="E71" s="5" t="s">
        <v>163</v>
      </c>
      <c r="F71" s="5" t="s">
        <v>76</v>
      </c>
      <c r="G71" s="5" t="s">
        <v>101</v>
      </c>
      <c r="H71" s="5" t="s">
        <v>360</v>
      </c>
      <c r="I71" s="5" t="s">
        <v>300</v>
      </c>
      <c r="J71" s="7" t="n">
        <v>10491</v>
      </c>
      <c r="K71" s="8" t="n">
        <v>12300</v>
      </c>
      <c r="L71" s="8" t="n">
        <v>189</v>
      </c>
      <c r="M71" s="8" t="n">
        <v>14892.05</v>
      </c>
      <c r="N71" s="8" t="n">
        <v>2054739</v>
      </c>
      <c r="O71" s="5" t="n">
        <v>108.2</v>
      </c>
      <c r="P71" s="9" t="n">
        <v>5.11</v>
      </c>
      <c r="Q71" s="5" t="n">
        <v>0.45</v>
      </c>
      <c r="R71" s="5" t="s">
        <v>95</v>
      </c>
      <c r="S71" s="5" t="s">
        <v>184</v>
      </c>
      <c r="T71" s="5" t="n">
        <v>64</v>
      </c>
      <c r="U71" s="5" t="s">
        <v>80</v>
      </c>
      <c r="V71" s="5" t="s">
        <v>361</v>
      </c>
    </row>
    <row r="72" customFormat="false" ht="15" hidden="false" customHeight="false" outlineLevel="0" collapsed="false">
      <c r="A72" s="5" t="n">
        <v>71</v>
      </c>
      <c r="B72" s="5" t="s">
        <v>362</v>
      </c>
      <c r="C72" s="6" t="s">
        <v>49</v>
      </c>
      <c r="D72" s="5" t="s">
        <v>205</v>
      </c>
      <c r="E72" s="5" t="s">
        <v>206</v>
      </c>
      <c r="F72" s="5" t="s">
        <v>212</v>
      </c>
      <c r="G72" s="5" t="s">
        <v>213</v>
      </c>
      <c r="H72" s="5" t="s">
        <v>363</v>
      </c>
      <c r="I72" s="5" t="s">
        <v>78</v>
      </c>
      <c r="J72" s="7" t="n">
        <v>10490</v>
      </c>
      <c r="K72" s="8" t="n">
        <v>38400</v>
      </c>
      <c r="L72" s="8" t="n">
        <v>19</v>
      </c>
      <c r="M72" s="8" t="n">
        <v>240005.26</v>
      </c>
      <c r="N72" s="8" t="n">
        <v>3232312</v>
      </c>
      <c r="O72" s="5" t="n">
        <v>33.4</v>
      </c>
      <c r="P72" s="9" t="n">
        <v>3.25</v>
      </c>
      <c r="Q72" s="5" t="n">
        <v>5.6</v>
      </c>
      <c r="R72" s="5" t="s">
        <v>95</v>
      </c>
      <c r="S72" s="5" t="s">
        <v>96</v>
      </c>
      <c r="T72" s="5" t="n">
        <v>33</v>
      </c>
      <c r="U72" s="5" t="s">
        <v>80</v>
      </c>
      <c r="V72" s="5" t="s">
        <v>364</v>
      </c>
    </row>
    <row r="73" customFormat="false" ht="15" hidden="false" customHeight="false" outlineLevel="0" collapsed="false">
      <c r="A73" s="5" t="n">
        <v>72</v>
      </c>
      <c r="B73" s="5" t="s">
        <v>365</v>
      </c>
      <c r="C73" s="6" t="s">
        <v>49</v>
      </c>
      <c r="D73" s="5" t="s">
        <v>205</v>
      </c>
      <c r="E73" s="5" t="s">
        <v>206</v>
      </c>
      <c r="F73" s="5" t="s">
        <v>76</v>
      </c>
      <c r="G73" s="5" t="s">
        <v>101</v>
      </c>
      <c r="H73" s="5" t="s">
        <v>366</v>
      </c>
      <c r="I73" s="5" t="s">
        <v>78</v>
      </c>
      <c r="J73" s="7" t="n">
        <v>10462</v>
      </c>
      <c r="K73" s="8" t="n">
        <v>3000</v>
      </c>
      <c r="L73" s="8" t="n">
        <v>52</v>
      </c>
      <c r="M73" s="8" t="n">
        <v>18556.08</v>
      </c>
      <c r="N73" s="8" t="n">
        <v>1830444</v>
      </c>
      <c r="O73" s="5" t="n">
        <v>21.9</v>
      </c>
      <c r="P73" s="9" t="n">
        <v>5.72</v>
      </c>
      <c r="Q73" s="5" t="n">
        <v>0.22</v>
      </c>
      <c r="R73" s="5" t="s">
        <v>95</v>
      </c>
      <c r="S73" s="5" t="s">
        <v>367</v>
      </c>
      <c r="T73" s="5" t="n">
        <v>30</v>
      </c>
      <c r="U73" s="5" t="s">
        <v>80</v>
      </c>
      <c r="V73" s="5" t="s">
        <v>368</v>
      </c>
    </row>
    <row r="74" customFormat="false" ht="15" hidden="false" customHeight="false" outlineLevel="0" collapsed="false">
      <c r="A74" s="5" t="n">
        <v>73</v>
      </c>
      <c r="B74" s="5" t="s">
        <v>369</v>
      </c>
      <c r="C74" s="6" t="s">
        <v>49</v>
      </c>
      <c r="D74" s="5" t="s">
        <v>254</v>
      </c>
      <c r="E74" s="5" t="s">
        <v>255</v>
      </c>
      <c r="F74" s="5" t="s">
        <v>212</v>
      </c>
      <c r="G74" s="5" t="s">
        <v>370</v>
      </c>
      <c r="H74" s="5" t="s">
        <v>256</v>
      </c>
      <c r="I74" s="5" t="s">
        <v>78</v>
      </c>
      <c r="J74" s="7" t="n">
        <v>10410</v>
      </c>
      <c r="K74" s="8" t="n">
        <v>12100</v>
      </c>
      <c r="L74" s="8" t="n">
        <v>15</v>
      </c>
      <c r="M74" s="8" t="n">
        <v>215625</v>
      </c>
      <c r="N74" s="8" t="n">
        <v>4714285</v>
      </c>
      <c r="O74" s="5" t="n">
        <v>9.3</v>
      </c>
      <c r="P74" s="9" t="n">
        <v>2.21</v>
      </c>
      <c r="Q74" s="5" t="n">
        <v>10.1</v>
      </c>
      <c r="R74" s="5" t="s">
        <v>53</v>
      </c>
      <c r="S74" s="5" t="s">
        <v>293</v>
      </c>
      <c r="T74" s="5" t="n">
        <v>32</v>
      </c>
      <c r="U74" s="5" t="s">
        <v>80</v>
      </c>
      <c r="V74" s="5" t="s">
        <v>371</v>
      </c>
    </row>
    <row r="75" customFormat="false" ht="15" hidden="false" customHeight="false" outlineLevel="0" collapsed="false">
      <c r="A75" s="5" t="n">
        <v>74</v>
      </c>
      <c r="B75" s="5" t="s">
        <v>372</v>
      </c>
      <c r="C75" s="6" t="s">
        <v>49</v>
      </c>
      <c r="D75" s="5" t="s">
        <v>162</v>
      </c>
      <c r="E75" s="5" t="s">
        <v>163</v>
      </c>
      <c r="F75" s="5" t="s">
        <v>76</v>
      </c>
      <c r="G75" s="5" t="s">
        <v>101</v>
      </c>
      <c r="H75" s="5" t="s">
        <v>256</v>
      </c>
      <c r="I75" s="5" t="s">
        <v>256</v>
      </c>
      <c r="J75" s="7" t="n">
        <v>10275</v>
      </c>
      <c r="K75" s="8" t="n">
        <v>9810</v>
      </c>
      <c r="L75" s="8" t="n">
        <v>34</v>
      </c>
      <c r="M75" s="8" t="n">
        <v>33564.71</v>
      </c>
      <c r="N75" s="8" t="n">
        <v>1141200</v>
      </c>
      <c r="O75" s="5" t="n">
        <v>137.6</v>
      </c>
      <c r="P75" s="9" t="n">
        <v>9</v>
      </c>
      <c r="Q75" s="5" t="n">
        <v>4.41</v>
      </c>
      <c r="R75" s="5" t="s">
        <v>95</v>
      </c>
      <c r="S75" s="5" t="s">
        <v>96</v>
      </c>
      <c r="T75" s="5" t="n">
        <v>33</v>
      </c>
      <c r="U75" s="5" t="s">
        <v>80</v>
      </c>
      <c r="V75" s="10" t="s">
        <v>373</v>
      </c>
    </row>
    <row r="76" customFormat="false" ht="15" hidden="false" customHeight="false" outlineLevel="0" collapsed="false">
      <c r="A76" s="5" t="n">
        <v>75</v>
      </c>
      <c r="B76" s="5" t="s">
        <v>374</v>
      </c>
      <c r="C76" s="6" t="s">
        <v>49</v>
      </c>
      <c r="D76" s="5" t="s">
        <v>210</v>
      </c>
      <c r="E76" s="5" t="s">
        <v>211</v>
      </c>
      <c r="F76" s="5" t="s">
        <v>212</v>
      </c>
      <c r="G76" s="5" t="s">
        <v>219</v>
      </c>
      <c r="H76" s="5" t="s">
        <v>214</v>
      </c>
      <c r="I76" s="5" t="s">
        <v>94</v>
      </c>
      <c r="J76" s="7" t="n">
        <v>10262</v>
      </c>
      <c r="K76" s="8" t="n">
        <v>11500</v>
      </c>
      <c r="L76" s="8" t="n">
        <v>50</v>
      </c>
      <c r="M76" s="8" t="n">
        <v>269032.06</v>
      </c>
      <c r="N76" s="8" t="n">
        <v>8539525</v>
      </c>
      <c r="O76" s="5" t="n">
        <v>12.8</v>
      </c>
      <c r="P76" s="9" t="n">
        <v>1.2</v>
      </c>
      <c r="Q76" s="5" t="n">
        <v>1.85</v>
      </c>
      <c r="R76" s="5" t="s">
        <v>95</v>
      </c>
      <c r="S76" s="5" t="s">
        <v>375</v>
      </c>
      <c r="T76" s="5" t="n">
        <v>125</v>
      </c>
      <c r="U76" s="5" t="s">
        <v>80</v>
      </c>
      <c r="V76" s="5" t="s">
        <v>376</v>
      </c>
    </row>
    <row r="77" customFormat="false" ht="15" hidden="false" customHeight="false" outlineLevel="0" collapsed="false">
      <c r="A77" s="5" t="n">
        <v>76</v>
      </c>
      <c r="B77" s="5" t="s">
        <v>377</v>
      </c>
      <c r="C77" s="6" t="s">
        <v>49</v>
      </c>
      <c r="D77" s="5" t="s">
        <v>378</v>
      </c>
      <c r="E77" s="5" t="s">
        <v>379</v>
      </c>
      <c r="F77" s="5" t="s">
        <v>76</v>
      </c>
      <c r="G77" s="5" t="s">
        <v>101</v>
      </c>
      <c r="H77" s="5" t="s">
        <v>93</v>
      </c>
      <c r="I77" s="5" t="s">
        <v>94</v>
      </c>
      <c r="J77" s="7" t="n">
        <v>10106</v>
      </c>
      <c r="K77" s="8" t="n">
        <v>13000</v>
      </c>
      <c r="L77" s="8" t="n">
        <v>102</v>
      </c>
      <c r="M77" s="8" t="n">
        <v>33546.32</v>
      </c>
      <c r="N77" s="8" t="n">
        <v>1245682</v>
      </c>
      <c r="O77" s="5" t="n">
        <v>83.6</v>
      </c>
      <c r="P77" s="9" t="n">
        <v>8.11</v>
      </c>
      <c r="Q77" s="5" t="n">
        <v>0.7</v>
      </c>
      <c r="R77" s="5" t="s">
        <v>53</v>
      </c>
      <c r="S77" s="5" t="s">
        <v>79</v>
      </c>
      <c r="T77" s="5" t="n">
        <v>96</v>
      </c>
      <c r="U77" s="5" t="s">
        <v>80</v>
      </c>
      <c r="V77" s="5" t="s">
        <v>380</v>
      </c>
    </row>
    <row r="78" customFormat="false" ht="15" hidden="false" customHeight="false" outlineLevel="0" collapsed="false">
      <c r="A78" s="5" t="n">
        <v>77</v>
      </c>
      <c r="B78" s="5" t="s">
        <v>381</v>
      </c>
      <c r="C78" s="6" t="s">
        <v>49</v>
      </c>
      <c r="D78" s="5" t="s">
        <v>227</v>
      </c>
      <c r="E78" s="5" t="s">
        <v>228</v>
      </c>
      <c r="F78" s="5" t="s">
        <v>76</v>
      </c>
      <c r="G78" s="5" t="s">
        <v>101</v>
      </c>
      <c r="H78" s="5" t="s">
        <v>382</v>
      </c>
      <c r="I78" s="5" t="s">
        <v>94</v>
      </c>
      <c r="J78" s="7" t="n">
        <v>10038</v>
      </c>
      <c r="K78" s="8" t="n">
        <v>2590</v>
      </c>
      <c r="L78" s="8" t="n">
        <v>30</v>
      </c>
      <c r="M78" s="8" t="n">
        <v>35517.33</v>
      </c>
      <c r="N78" s="8" t="n">
        <v>634404</v>
      </c>
      <c r="O78" s="5" t="n">
        <v>108.4</v>
      </c>
      <c r="P78" s="9" t="n">
        <v>15.82</v>
      </c>
      <c r="Q78" s="5" t="n">
        <v>2.04</v>
      </c>
      <c r="R78" s="5" t="s">
        <v>53</v>
      </c>
      <c r="S78" s="5" t="s">
        <v>184</v>
      </c>
      <c r="T78" s="5" t="n">
        <v>64</v>
      </c>
      <c r="U78" s="5" t="s">
        <v>80</v>
      </c>
      <c r="V78" s="5" t="s">
        <v>383</v>
      </c>
    </row>
    <row r="79" customFormat="false" ht="15" hidden="false" customHeight="false" outlineLevel="0" collapsed="false">
      <c r="A79" s="5" t="n">
        <v>78</v>
      </c>
      <c r="B79" s="5" t="s">
        <v>384</v>
      </c>
      <c r="C79" s="6" t="s">
        <v>49</v>
      </c>
      <c r="D79" s="5" t="s">
        <v>385</v>
      </c>
      <c r="E79" s="5" t="s">
        <v>386</v>
      </c>
      <c r="F79" s="5" t="s">
        <v>76</v>
      </c>
      <c r="G79" s="5" t="s">
        <v>101</v>
      </c>
      <c r="H79" s="5" t="s">
        <v>93</v>
      </c>
      <c r="I79" s="5" t="s">
        <v>94</v>
      </c>
      <c r="J79" s="7" t="n">
        <v>10019</v>
      </c>
      <c r="K79" s="8" t="n">
        <v>6240</v>
      </c>
      <c r="L79" s="8" t="n">
        <v>15</v>
      </c>
      <c r="M79" s="8" t="n">
        <v>70380</v>
      </c>
      <c r="N79" s="8" t="n">
        <v>1185066</v>
      </c>
      <c r="O79" s="5" t="n">
        <v>65.8</v>
      </c>
      <c r="P79" s="9" t="n">
        <v>8.45</v>
      </c>
      <c r="Q79" s="5" t="n">
        <v>7.06</v>
      </c>
      <c r="R79" s="5" t="s">
        <v>53</v>
      </c>
      <c r="S79" s="5" t="s">
        <v>96</v>
      </c>
      <c r="T79" s="5" t="n">
        <v>33</v>
      </c>
      <c r="U79" s="5" t="s">
        <v>80</v>
      </c>
      <c r="V79" s="5" t="s">
        <v>387</v>
      </c>
    </row>
    <row r="80" customFormat="false" ht="15" hidden="false" customHeight="false" outlineLevel="0" collapsed="false">
      <c r="A80" s="5" t="n">
        <v>79</v>
      </c>
      <c r="B80" s="5" t="s">
        <v>388</v>
      </c>
      <c r="C80" s="6" t="s">
        <v>49</v>
      </c>
      <c r="D80" s="5" t="s">
        <v>231</v>
      </c>
      <c r="E80" s="5" t="s">
        <v>232</v>
      </c>
      <c r="F80" s="5" t="s">
        <v>76</v>
      </c>
      <c r="G80" s="5" t="s">
        <v>101</v>
      </c>
      <c r="H80" s="5" t="s">
        <v>389</v>
      </c>
      <c r="I80" s="5" t="s">
        <v>78</v>
      </c>
      <c r="J80" s="7" t="n">
        <v>9896</v>
      </c>
      <c r="K80" s="8" t="n">
        <v>9560</v>
      </c>
      <c r="L80" s="8" t="n">
        <v>29</v>
      </c>
      <c r="M80" s="8" t="n">
        <v>130934.48</v>
      </c>
      <c r="N80" s="8" t="n">
        <v>1776858</v>
      </c>
      <c r="O80" s="5" t="n">
        <v>20</v>
      </c>
      <c r="P80" s="9" t="n">
        <v>5.57</v>
      </c>
      <c r="Q80" s="5" t="n">
        <v>20.88</v>
      </c>
      <c r="R80" s="5" t="s">
        <v>53</v>
      </c>
      <c r="S80" s="5" t="s">
        <v>184</v>
      </c>
      <c r="T80" s="5" t="n">
        <v>64</v>
      </c>
      <c r="U80" s="5" t="s">
        <v>80</v>
      </c>
      <c r="V80" s="5" t="s">
        <v>390</v>
      </c>
    </row>
    <row r="81" customFormat="false" ht="15" hidden="false" customHeight="false" outlineLevel="0" collapsed="false">
      <c r="A81" s="5" t="n">
        <v>80</v>
      </c>
      <c r="B81" s="5" t="s">
        <v>391</v>
      </c>
      <c r="C81" s="6" t="s">
        <v>49</v>
      </c>
      <c r="D81" s="5" t="s">
        <v>129</v>
      </c>
      <c r="E81" s="5" t="s">
        <v>130</v>
      </c>
      <c r="F81" s="5" t="s">
        <v>76</v>
      </c>
      <c r="G81" s="5" t="s">
        <v>101</v>
      </c>
      <c r="H81" s="5" t="s">
        <v>193</v>
      </c>
      <c r="I81" s="5" t="s">
        <v>94</v>
      </c>
      <c r="J81" s="7" t="n">
        <v>9692</v>
      </c>
      <c r="K81" s="8" t="n">
        <v>2950</v>
      </c>
      <c r="L81" s="8" t="n">
        <v>19</v>
      </c>
      <c r="M81" s="8" t="n">
        <v>59110.53</v>
      </c>
      <c r="N81" s="8" t="n">
        <v>977189</v>
      </c>
      <c r="O81" s="5" t="n">
        <v>220.1</v>
      </c>
      <c r="P81" s="9" t="n">
        <v>9.92</v>
      </c>
      <c r="Q81" s="5" t="n">
        <v>5.59</v>
      </c>
      <c r="R81" s="5" t="s">
        <v>53</v>
      </c>
      <c r="S81" s="5" t="s">
        <v>110</v>
      </c>
      <c r="T81" s="5" t="n">
        <v>34</v>
      </c>
      <c r="U81" s="5" t="s">
        <v>80</v>
      </c>
      <c r="V81" s="5" t="s">
        <v>392</v>
      </c>
    </row>
    <row r="82" customFormat="false" ht="15" hidden="false" customHeight="false" outlineLevel="0" collapsed="false">
      <c r="A82" s="5" t="n">
        <v>81</v>
      </c>
      <c r="B82" s="5" t="s">
        <v>393</v>
      </c>
      <c r="C82" s="6" t="s">
        <v>49</v>
      </c>
      <c r="D82" s="5" t="s">
        <v>394</v>
      </c>
      <c r="E82" s="5" t="s">
        <v>395</v>
      </c>
      <c r="F82" s="5" t="s">
        <v>76</v>
      </c>
      <c r="G82" s="5" t="s">
        <v>396</v>
      </c>
      <c r="H82" s="5" t="s">
        <v>93</v>
      </c>
      <c r="I82" s="5" t="s">
        <v>94</v>
      </c>
      <c r="J82" s="7" t="n">
        <v>9686</v>
      </c>
      <c r="K82" s="8" t="n">
        <v>6220</v>
      </c>
      <c r="L82" s="8" t="n">
        <v>27</v>
      </c>
      <c r="M82" s="8" t="n">
        <v>121565.81</v>
      </c>
      <c r="N82" s="8" t="n">
        <v>3001514</v>
      </c>
      <c r="O82" s="5" t="n">
        <v>21.2</v>
      </c>
      <c r="P82" s="9" t="n">
        <v>3.23</v>
      </c>
      <c r="Q82" s="5" t="n">
        <v>0.94</v>
      </c>
      <c r="R82" s="5" t="s">
        <v>95</v>
      </c>
      <c r="S82" s="5" t="s">
        <v>103</v>
      </c>
      <c r="T82" s="5" t="n">
        <v>65</v>
      </c>
      <c r="U82" s="5" t="s">
        <v>80</v>
      </c>
      <c r="V82" s="5" t="s">
        <v>397</v>
      </c>
    </row>
    <row r="83" customFormat="false" ht="15" hidden="false" customHeight="false" outlineLevel="0" collapsed="false">
      <c r="A83" s="5" t="n">
        <v>82</v>
      </c>
      <c r="B83" s="5" t="s">
        <v>398</v>
      </c>
      <c r="C83" s="6" t="s">
        <v>49</v>
      </c>
      <c r="D83" s="5" t="s">
        <v>399</v>
      </c>
      <c r="E83" s="5" t="s">
        <v>400</v>
      </c>
      <c r="F83" s="5" t="s">
        <v>76</v>
      </c>
      <c r="G83" s="5" t="s">
        <v>101</v>
      </c>
      <c r="H83" s="5" t="s">
        <v>401</v>
      </c>
      <c r="I83" s="5" t="s">
        <v>122</v>
      </c>
      <c r="J83" s="7" t="n">
        <v>9644</v>
      </c>
      <c r="K83" s="8" t="n">
        <v>38300</v>
      </c>
      <c r="L83" s="8" t="n">
        <v>52</v>
      </c>
      <c r="M83" s="8" t="n">
        <v>144765.38</v>
      </c>
      <c r="N83" s="8" t="n">
        <v>2711723</v>
      </c>
      <c r="O83" s="5" t="n">
        <v>116.7</v>
      </c>
      <c r="P83" s="9" t="n">
        <v>3.56</v>
      </c>
      <c r="Q83" s="5" t="n">
        <v>8.8</v>
      </c>
      <c r="R83" s="5" t="s">
        <v>53</v>
      </c>
      <c r="S83" s="5" t="s">
        <v>116</v>
      </c>
      <c r="T83" s="5" t="n">
        <v>126</v>
      </c>
      <c r="U83" s="5" t="s">
        <v>80</v>
      </c>
      <c r="V83" s="5" t="s">
        <v>402</v>
      </c>
    </row>
    <row r="84" customFormat="false" ht="15" hidden="false" customHeight="false" outlineLevel="0" collapsed="false">
      <c r="A84" s="5" t="n">
        <v>83</v>
      </c>
      <c r="B84" s="5" t="s">
        <v>403</v>
      </c>
      <c r="C84" s="6" t="s">
        <v>49</v>
      </c>
      <c r="D84" s="5" t="s">
        <v>404</v>
      </c>
      <c r="E84" s="5" t="s">
        <v>405</v>
      </c>
      <c r="F84" s="5" t="s">
        <v>76</v>
      </c>
      <c r="G84" s="5" t="s">
        <v>101</v>
      </c>
      <c r="H84" s="5" t="s">
        <v>131</v>
      </c>
      <c r="I84" s="5" t="s">
        <v>94</v>
      </c>
      <c r="J84" s="7" t="n">
        <v>9599</v>
      </c>
      <c r="K84" s="8" t="n">
        <v>10200</v>
      </c>
      <c r="L84" s="8" t="n">
        <v>73</v>
      </c>
      <c r="M84" s="8" t="n">
        <v>28936.53</v>
      </c>
      <c r="N84" s="8" t="n">
        <v>1573554</v>
      </c>
      <c r="O84" s="5" t="n">
        <v>36.4</v>
      </c>
      <c r="P84" s="9" t="n">
        <v>6.1</v>
      </c>
      <c r="Q84" s="5" t="n">
        <v>0.25</v>
      </c>
      <c r="R84" s="5" t="s">
        <v>53</v>
      </c>
      <c r="S84" s="5" t="s">
        <v>165</v>
      </c>
      <c r="T84" s="5" t="n">
        <v>95</v>
      </c>
      <c r="U84" s="5" t="s">
        <v>80</v>
      </c>
      <c r="V84" s="5" t="s">
        <v>406</v>
      </c>
    </row>
    <row r="85" customFormat="false" ht="15" hidden="false" customHeight="false" outlineLevel="0" collapsed="false">
      <c r="A85" s="5" t="n">
        <v>84</v>
      </c>
      <c r="B85" s="5" t="s">
        <v>407</v>
      </c>
      <c r="C85" s="6" t="s">
        <v>49</v>
      </c>
      <c r="D85" s="5" t="s">
        <v>408</v>
      </c>
      <c r="E85" s="5" t="s">
        <v>409</v>
      </c>
      <c r="F85" s="5" t="s">
        <v>76</v>
      </c>
      <c r="G85" s="5" t="s">
        <v>101</v>
      </c>
      <c r="H85" s="5" t="s">
        <v>115</v>
      </c>
      <c r="I85" s="5" t="s">
        <v>94</v>
      </c>
      <c r="J85" s="7" t="n">
        <v>9555</v>
      </c>
      <c r="K85" s="8" t="n">
        <v>12200</v>
      </c>
      <c r="L85" s="8" t="n">
        <v>132</v>
      </c>
      <c r="M85" s="8" t="n">
        <v>22187.52</v>
      </c>
      <c r="N85" s="8" t="n">
        <v>1431769</v>
      </c>
      <c r="O85" s="5" t="n">
        <v>122.6</v>
      </c>
      <c r="P85" s="9" t="n">
        <v>6.67</v>
      </c>
      <c r="Q85" s="5" t="n">
        <v>0.83</v>
      </c>
      <c r="R85" s="5" t="s">
        <v>53</v>
      </c>
      <c r="S85" s="5" t="s">
        <v>79</v>
      </c>
      <c r="T85" s="5" t="n">
        <v>96</v>
      </c>
      <c r="U85" s="5" t="s">
        <v>80</v>
      </c>
      <c r="V85" s="5" t="s">
        <v>410</v>
      </c>
    </row>
    <row r="86" customFormat="false" ht="15" hidden="false" customHeight="false" outlineLevel="0" collapsed="false">
      <c r="A86" s="5" t="n">
        <v>85</v>
      </c>
      <c r="B86" s="5" t="s">
        <v>411</v>
      </c>
      <c r="C86" s="6" t="s">
        <v>49</v>
      </c>
      <c r="D86" s="5" t="s">
        <v>196</v>
      </c>
      <c r="E86" s="5" t="s">
        <v>197</v>
      </c>
      <c r="F86" s="5" t="s">
        <v>76</v>
      </c>
      <c r="G86" s="5" t="s">
        <v>101</v>
      </c>
      <c r="H86" s="5" t="s">
        <v>412</v>
      </c>
      <c r="I86" s="5" t="s">
        <v>296</v>
      </c>
      <c r="J86" s="7" t="n">
        <v>9546</v>
      </c>
      <c r="K86" s="8" t="n">
        <v>3880</v>
      </c>
      <c r="L86" s="8" t="n">
        <v>77</v>
      </c>
      <c r="M86" s="8" t="n">
        <v>33183.03</v>
      </c>
      <c r="N86" s="8" t="n">
        <v>2134944</v>
      </c>
      <c r="O86" s="5" t="n">
        <v>26.7</v>
      </c>
      <c r="P86" s="9" t="n">
        <v>4.47</v>
      </c>
      <c r="Q86" s="5" t="n">
        <v>2.65</v>
      </c>
      <c r="R86" s="5" t="s">
        <v>53</v>
      </c>
      <c r="S86" s="5" t="s">
        <v>96</v>
      </c>
      <c r="T86" s="5" t="n">
        <v>33</v>
      </c>
      <c r="U86" s="5" t="s">
        <v>80</v>
      </c>
      <c r="V86" s="5" t="s">
        <v>413</v>
      </c>
    </row>
    <row r="87" customFormat="false" ht="15" hidden="false" customHeight="false" outlineLevel="0" collapsed="false">
      <c r="A87" s="5" t="n">
        <v>86</v>
      </c>
      <c r="B87" s="5" t="s">
        <v>414</v>
      </c>
      <c r="C87" s="6" t="s">
        <v>49</v>
      </c>
      <c r="D87" s="5" t="s">
        <v>217</v>
      </c>
      <c r="E87" s="5" t="s">
        <v>218</v>
      </c>
      <c r="F87" s="5" t="s">
        <v>76</v>
      </c>
      <c r="G87" s="5" t="s">
        <v>101</v>
      </c>
      <c r="H87" s="5" t="s">
        <v>415</v>
      </c>
      <c r="I87" s="5" t="s">
        <v>122</v>
      </c>
      <c r="J87" s="7" t="n">
        <v>9418</v>
      </c>
      <c r="K87" s="8" t="n">
        <v>10600</v>
      </c>
      <c r="L87" s="8" t="n">
        <v>44</v>
      </c>
      <c r="M87" s="8" t="n">
        <v>55202.27</v>
      </c>
      <c r="N87" s="8" t="n">
        <v>2202518</v>
      </c>
      <c r="O87" s="5" t="n">
        <v>16.1</v>
      </c>
      <c r="P87" s="9" t="n">
        <v>4.28</v>
      </c>
      <c r="Q87" s="5" t="n">
        <v>1.45</v>
      </c>
      <c r="R87" s="5" t="s">
        <v>95</v>
      </c>
      <c r="S87" s="5" t="s">
        <v>96</v>
      </c>
      <c r="T87" s="5" t="n">
        <v>33</v>
      </c>
      <c r="U87" s="5" t="s">
        <v>80</v>
      </c>
      <c r="V87" s="5" t="s">
        <v>416</v>
      </c>
    </row>
    <row r="88" customFormat="false" ht="15" hidden="false" customHeight="false" outlineLevel="0" collapsed="false">
      <c r="A88" s="5" t="n">
        <v>87</v>
      </c>
      <c r="B88" s="5" t="s">
        <v>417</v>
      </c>
      <c r="C88" s="6" t="s">
        <v>49</v>
      </c>
      <c r="D88" s="5" t="s">
        <v>418</v>
      </c>
      <c r="E88" s="5" t="s">
        <v>419</v>
      </c>
      <c r="F88" s="5" t="s">
        <v>76</v>
      </c>
      <c r="G88" s="5"/>
      <c r="H88" s="5" t="s">
        <v>420</v>
      </c>
      <c r="I88" s="5" t="s">
        <v>78</v>
      </c>
      <c r="J88" s="7" t="n">
        <v>9216</v>
      </c>
      <c r="K88" s="8" t="n">
        <v>47400</v>
      </c>
      <c r="L88" s="8" t="n">
        <v>17</v>
      </c>
      <c r="M88" s="8" t="n">
        <v>310588.24</v>
      </c>
      <c r="N88" s="8" t="n">
        <v>2089707</v>
      </c>
      <c r="O88" s="5" t="n">
        <v>11.5</v>
      </c>
      <c r="P88" s="9" t="n">
        <v>4.41</v>
      </c>
      <c r="Q88" s="5" t="n">
        <v>28.1</v>
      </c>
      <c r="R88" s="5" t="s">
        <v>53</v>
      </c>
      <c r="S88" s="5" t="s">
        <v>116</v>
      </c>
      <c r="T88" s="5" t="n">
        <v>126</v>
      </c>
      <c r="U88" s="5" t="s">
        <v>80</v>
      </c>
      <c r="V88" s="5" t="s">
        <v>421</v>
      </c>
    </row>
    <row r="89" customFormat="false" ht="15" hidden="false" customHeight="false" outlineLevel="0" collapsed="false">
      <c r="A89" s="5" t="n">
        <v>88</v>
      </c>
      <c r="B89" s="5" t="s">
        <v>422</v>
      </c>
      <c r="C89" s="6" t="s">
        <v>49</v>
      </c>
      <c r="D89" s="5" t="s">
        <v>423</v>
      </c>
      <c r="E89" s="5" t="s">
        <v>424</v>
      </c>
      <c r="F89" s="5" t="s">
        <v>76</v>
      </c>
      <c r="G89" s="5"/>
      <c r="H89" s="5" t="s">
        <v>316</v>
      </c>
      <c r="I89" s="5" t="s">
        <v>94</v>
      </c>
      <c r="J89" s="7" t="n">
        <v>9214</v>
      </c>
      <c r="K89" s="8" t="n">
        <v>4880</v>
      </c>
      <c r="L89" s="8" t="n">
        <v>46</v>
      </c>
      <c r="M89" s="8" t="n">
        <v>115976.09</v>
      </c>
      <c r="N89" s="8" t="n">
        <v>5172914</v>
      </c>
      <c r="O89" s="5" t="n">
        <v>10.2</v>
      </c>
      <c r="P89" s="9" t="n">
        <v>1.78</v>
      </c>
      <c r="Q89" s="5" t="n">
        <v>2.79</v>
      </c>
      <c r="R89" s="5" t="s">
        <v>95</v>
      </c>
      <c r="S89" s="5" t="s">
        <v>96</v>
      </c>
      <c r="T89" s="5" t="n">
        <v>33</v>
      </c>
      <c r="U89" s="5" t="s">
        <v>80</v>
      </c>
      <c r="V89" s="5" t="s">
        <v>425</v>
      </c>
    </row>
    <row r="90" customFormat="false" ht="15" hidden="false" customHeight="false" outlineLevel="0" collapsed="false">
      <c r="A90" s="5" t="n">
        <v>89</v>
      </c>
      <c r="B90" s="5" t="s">
        <v>426</v>
      </c>
      <c r="C90" s="6" t="s">
        <v>49</v>
      </c>
      <c r="D90" s="5" t="s">
        <v>408</v>
      </c>
      <c r="E90" s="5" t="s">
        <v>409</v>
      </c>
      <c r="F90" s="5" t="s">
        <v>76</v>
      </c>
      <c r="G90" s="5" t="s">
        <v>427</v>
      </c>
      <c r="H90" s="5" t="s">
        <v>93</v>
      </c>
      <c r="I90" s="5" t="s">
        <v>94</v>
      </c>
      <c r="J90" s="7" t="n">
        <v>9080</v>
      </c>
      <c r="K90" s="8" t="n">
        <v>7750</v>
      </c>
      <c r="L90" s="8" t="n">
        <v>17</v>
      </c>
      <c r="M90" s="8" t="n">
        <v>63847.06</v>
      </c>
      <c r="N90" s="8" t="n">
        <v>1522022</v>
      </c>
      <c r="O90" s="5" t="n">
        <v>25.8</v>
      </c>
      <c r="P90" s="9" t="n">
        <v>5.97</v>
      </c>
      <c r="Q90" s="5" t="n">
        <v>7.35</v>
      </c>
      <c r="R90" s="5" t="s">
        <v>53</v>
      </c>
      <c r="S90" s="5" t="s">
        <v>428</v>
      </c>
      <c r="T90" s="5" t="n">
        <v>31</v>
      </c>
      <c r="U90" s="5" t="s">
        <v>80</v>
      </c>
      <c r="V90" s="5" t="s">
        <v>429</v>
      </c>
    </row>
    <row r="91" customFormat="false" ht="15" hidden="false" customHeight="false" outlineLevel="0" collapsed="false">
      <c r="A91" s="5" t="n">
        <v>90</v>
      </c>
      <c r="B91" s="5" t="s">
        <v>430</v>
      </c>
      <c r="C91" s="6" t="s">
        <v>49</v>
      </c>
      <c r="D91" s="5" t="s">
        <v>170</v>
      </c>
      <c r="E91" s="5" t="s">
        <v>171</v>
      </c>
      <c r="F91" s="5" t="s">
        <v>212</v>
      </c>
      <c r="G91" s="5" t="s">
        <v>213</v>
      </c>
      <c r="H91" s="5" t="s">
        <v>115</v>
      </c>
      <c r="I91" s="5" t="s">
        <v>94</v>
      </c>
      <c r="J91" s="7" t="n">
        <v>8931</v>
      </c>
      <c r="K91" s="8" t="n">
        <v>21200</v>
      </c>
      <c r="L91" s="8" t="n">
        <v>14</v>
      </c>
      <c r="M91" s="8" t="n">
        <v>325407.14</v>
      </c>
      <c r="N91" s="8" t="n">
        <v>4344528</v>
      </c>
      <c r="O91" s="5" t="n">
        <v>31.5</v>
      </c>
      <c r="P91" s="9" t="n">
        <v>2.06</v>
      </c>
      <c r="Q91" s="5" t="n">
        <v>8.1</v>
      </c>
      <c r="R91" s="5" t="s">
        <v>53</v>
      </c>
      <c r="S91" s="5" t="s">
        <v>184</v>
      </c>
      <c r="T91" s="5" t="n">
        <v>64</v>
      </c>
      <c r="U91" s="5" t="s">
        <v>80</v>
      </c>
      <c r="V91" s="5" t="s">
        <v>431</v>
      </c>
    </row>
    <row r="92" customFormat="false" ht="15" hidden="false" customHeight="false" outlineLevel="0" collapsed="false">
      <c r="A92" s="5" t="n">
        <v>91</v>
      </c>
      <c r="B92" s="5" t="s">
        <v>432</v>
      </c>
      <c r="C92" s="6" t="s">
        <v>49</v>
      </c>
      <c r="D92" s="5" t="s">
        <v>433</v>
      </c>
      <c r="E92" s="5" t="s">
        <v>434</v>
      </c>
      <c r="F92" s="5" t="s">
        <v>76</v>
      </c>
      <c r="G92" s="5" t="s">
        <v>101</v>
      </c>
      <c r="H92" s="5" t="s">
        <v>435</v>
      </c>
      <c r="I92" s="5" t="s">
        <v>78</v>
      </c>
      <c r="J92" s="7" t="n">
        <v>8821</v>
      </c>
      <c r="K92" s="8" t="n">
        <v>7360</v>
      </c>
      <c r="L92" s="8" t="n">
        <v>32</v>
      </c>
      <c r="M92" s="8" t="n">
        <v>44341.12</v>
      </c>
      <c r="N92" s="8" t="n">
        <v>1731815</v>
      </c>
      <c r="O92" s="5" t="n">
        <v>41.8</v>
      </c>
      <c r="P92" s="9" t="n">
        <v>5.09</v>
      </c>
      <c r="Q92" s="5" t="n">
        <v>3.82</v>
      </c>
      <c r="R92" s="5" t="s">
        <v>95</v>
      </c>
      <c r="S92" s="5" t="s">
        <v>184</v>
      </c>
      <c r="T92" s="5" t="n">
        <v>64</v>
      </c>
      <c r="U92" s="5" t="s">
        <v>80</v>
      </c>
      <c r="V92" s="5" t="s">
        <v>436</v>
      </c>
    </row>
    <row r="93" customFormat="false" ht="15" hidden="false" customHeight="false" outlineLevel="0" collapsed="false">
      <c r="A93" s="5" t="n">
        <v>92</v>
      </c>
      <c r="B93" s="5" t="s">
        <v>437</v>
      </c>
      <c r="C93" s="6" t="s">
        <v>49</v>
      </c>
      <c r="D93" s="5" t="s">
        <v>106</v>
      </c>
      <c r="E93" s="5" t="s">
        <v>107</v>
      </c>
      <c r="F93" s="5" t="s">
        <v>76</v>
      </c>
      <c r="G93" s="5" t="s">
        <v>101</v>
      </c>
      <c r="H93" s="5" t="s">
        <v>108</v>
      </c>
      <c r="I93" s="5" t="s">
        <v>109</v>
      </c>
      <c r="J93" s="7" t="n">
        <v>8765</v>
      </c>
      <c r="K93" s="8" t="n">
        <v>57500</v>
      </c>
      <c r="L93" s="8" t="n">
        <v>44</v>
      </c>
      <c r="M93" s="8" t="n">
        <v>147527.27</v>
      </c>
      <c r="N93" s="8" t="n">
        <v>3031549</v>
      </c>
      <c r="O93" s="5" t="n">
        <v>23.6</v>
      </c>
      <c r="P93" s="9" t="n">
        <v>2.89</v>
      </c>
      <c r="Q93" s="5" t="n">
        <v>2.24</v>
      </c>
      <c r="R93" s="5" t="s">
        <v>95</v>
      </c>
      <c r="S93" s="5" t="s">
        <v>110</v>
      </c>
      <c r="T93" s="5" t="n">
        <v>34</v>
      </c>
      <c r="U93" s="5" t="s">
        <v>80</v>
      </c>
      <c r="V93" s="5" t="s">
        <v>438</v>
      </c>
    </row>
    <row r="94" customFormat="false" ht="15" hidden="false" customHeight="false" outlineLevel="0" collapsed="false">
      <c r="A94" s="5" t="n">
        <v>93</v>
      </c>
      <c r="B94" s="5" t="s">
        <v>439</v>
      </c>
      <c r="C94" s="6" t="s">
        <v>49</v>
      </c>
      <c r="D94" s="5" t="s">
        <v>162</v>
      </c>
      <c r="E94" s="5" t="s">
        <v>163</v>
      </c>
      <c r="F94" s="5" t="s">
        <v>76</v>
      </c>
      <c r="G94" s="5" t="s">
        <v>101</v>
      </c>
      <c r="H94" s="5" t="s">
        <v>440</v>
      </c>
      <c r="I94" s="5" t="s">
        <v>122</v>
      </c>
      <c r="J94" s="7" t="n">
        <v>8752</v>
      </c>
      <c r="K94" s="8" t="n">
        <v>6330</v>
      </c>
      <c r="L94" s="8" t="n">
        <v>129</v>
      </c>
      <c r="M94" s="8" t="n">
        <v>13641.36</v>
      </c>
      <c r="N94" s="8" t="n">
        <v>1394266</v>
      </c>
      <c r="O94" s="5" t="n">
        <v>80.9</v>
      </c>
      <c r="P94" s="9" t="n">
        <v>6.28</v>
      </c>
      <c r="Q94" s="5" t="n">
        <v>0.25</v>
      </c>
      <c r="R94" s="5" t="s">
        <v>95</v>
      </c>
      <c r="S94" s="5" t="s">
        <v>184</v>
      </c>
      <c r="T94" s="5" t="n">
        <v>64</v>
      </c>
      <c r="U94" s="5" t="s">
        <v>80</v>
      </c>
      <c r="V94" s="10" t="s">
        <v>441</v>
      </c>
    </row>
    <row r="95" customFormat="false" ht="15" hidden="false" customHeight="false" outlineLevel="0" collapsed="false">
      <c r="A95" s="5" t="n">
        <v>94</v>
      </c>
      <c r="B95" s="5" t="s">
        <v>442</v>
      </c>
      <c r="C95" s="6" t="s">
        <v>49</v>
      </c>
      <c r="D95" s="5" t="s">
        <v>319</v>
      </c>
      <c r="E95" s="5" t="s">
        <v>320</v>
      </c>
      <c r="F95" s="5" t="s">
        <v>76</v>
      </c>
      <c r="G95" s="5"/>
      <c r="H95" s="5" t="s">
        <v>443</v>
      </c>
      <c r="I95" s="5" t="s">
        <v>94</v>
      </c>
      <c r="J95" s="7" t="n">
        <v>8745</v>
      </c>
      <c r="K95" s="8" t="n">
        <v>3380</v>
      </c>
      <c r="L95" s="8" t="n">
        <v>23</v>
      </c>
      <c r="M95" s="8" t="n">
        <v>54592.78</v>
      </c>
      <c r="N95" s="8" t="n">
        <v>1032108</v>
      </c>
      <c r="O95" s="5" t="n">
        <v>96.8</v>
      </c>
      <c r="P95" s="9" t="n">
        <v>8.47</v>
      </c>
      <c r="Q95" s="5" t="n">
        <v>2.74</v>
      </c>
      <c r="R95" s="5" t="s">
        <v>53</v>
      </c>
      <c r="S95" s="5" t="s">
        <v>184</v>
      </c>
      <c r="T95" s="5" t="n">
        <v>64</v>
      </c>
      <c r="U95" s="5" t="s">
        <v>80</v>
      </c>
      <c r="V95" s="5" t="s">
        <v>444</v>
      </c>
    </row>
    <row r="96" customFormat="false" ht="15" hidden="false" customHeight="false" outlineLevel="0" collapsed="false">
      <c r="A96" s="5" t="n">
        <v>95</v>
      </c>
      <c r="B96" s="5" t="s">
        <v>445</v>
      </c>
      <c r="C96" s="6" t="s">
        <v>49</v>
      </c>
      <c r="D96" s="5" t="s">
        <v>231</v>
      </c>
      <c r="E96" s="5" t="s">
        <v>232</v>
      </c>
      <c r="F96" s="5" t="s">
        <v>76</v>
      </c>
      <c r="G96" s="5"/>
      <c r="H96" s="5" t="s">
        <v>93</v>
      </c>
      <c r="I96" s="5" t="s">
        <v>94</v>
      </c>
      <c r="J96" s="7" t="n">
        <v>8716</v>
      </c>
      <c r="K96" s="8" t="n">
        <v>4250</v>
      </c>
      <c r="L96" s="8" t="n">
        <v>55</v>
      </c>
      <c r="M96" s="8" t="n">
        <v>27517.38</v>
      </c>
      <c r="N96" s="8" t="n">
        <v>1166380</v>
      </c>
      <c r="O96" s="5" t="n">
        <v>34.5</v>
      </c>
      <c r="P96" s="9" t="n">
        <v>7.47</v>
      </c>
      <c r="Q96" s="5" t="n">
        <v>1.71</v>
      </c>
      <c r="R96" s="5" t="s">
        <v>53</v>
      </c>
      <c r="S96" s="5" t="s">
        <v>103</v>
      </c>
      <c r="T96" s="5" t="n">
        <v>65</v>
      </c>
      <c r="U96" s="5" t="s">
        <v>80</v>
      </c>
      <c r="V96" s="5" t="s">
        <v>446</v>
      </c>
    </row>
    <row r="97" customFormat="false" ht="15" hidden="false" customHeight="false" outlineLevel="0" collapsed="false">
      <c r="A97" s="5" t="n">
        <v>96</v>
      </c>
      <c r="B97" s="5" t="s">
        <v>447</v>
      </c>
      <c r="C97" s="6" t="s">
        <v>49</v>
      </c>
      <c r="D97" s="5" t="s">
        <v>448</v>
      </c>
      <c r="E97" s="5" t="s">
        <v>449</v>
      </c>
      <c r="F97" s="5" t="s">
        <v>76</v>
      </c>
      <c r="G97" s="5" t="s">
        <v>450</v>
      </c>
      <c r="H97" s="5" t="s">
        <v>121</v>
      </c>
      <c r="I97" s="5" t="s">
        <v>122</v>
      </c>
      <c r="J97" s="7" t="n">
        <v>8692</v>
      </c>
      <c r="K97" s="8" t="n">
        <v>6830</v>
      </c>
      <c r="L97" s="8" t="n">
        <v>176</v>
      </c>
      <c r="M97" s="8" t="n">
        <v>4896.15</v>
      </c>
      <c r="N97" s="8" t="n">
        <v>949276</v>
      </c>
      <c r="O97" s="5" t="n">
        <v>33</v>
      </c>
      <c r="P97" s="9" t="n">
        <v>9.16</v>
      </c>
      <c r="Q97" s="5" t="n">
        <v>1.46</v>
      </c>
      <c r="R97" s="5" t="s">
        <v>53</v>
      </c>
      <c r="S97" s="5" t="s">
        <v>96</v>
      </c>
      <c r="T97" s="5" t="n">
        <v>33</v>
      </c>
      <c r="U97" s="5" t="s">
        <v>80</v>
      </c>
      <c r="V97" s="5" t="s">
        <v>451</v>
      </c>
    </row>
    <row r="98" customFormat="false" ht="15" hidden="false" customHeight="false" outlineLevel="0" collapsed="false">
      <c r="A98" s="5" t="n">
        <v>97</v>
      </c>
      <c r="B98" s="5" t="s">
        <v>452</v>
      </c>
      <c r="C98" s="6" t="s">
        <v>49</v>
      </c>
      <c r="D98" s="5" t="s">
        <v>282</v>
      </c>
      <c r="E98" s="5" t="s">
        <v>283</v>
      </c>
      <c r="F98" s="5" t="s">
        <v>76</v>
      </c>
      <c r="G98" s="5" t="s">
        <v>101</v>
      </c>
      <c r="H98" s="5" t="s">
        <v>296</v>
      </c>
      <c r="I98" s="5" t="s">
        <v>78</v>
      </c>
      <c r="J98" s="7" t="n">
        <v>8655</v>
      </c>
      <c r="K98" s="8" t="n">
        <v>45200</v>
      </c>
      <c r="L98" s="8" t="n">
        <v>27</v>
      </c>
      <c r="M98" s="8" t="n">
        <v>324481.48</v>
      </c>
      <c r="N98" s="8" t="n">
        <v>3494762</v>
      </c>
      <c r="O98" s="5" t="n">
        <v>18.3</v>
      </c>
      <c r="P98" s="9" t="n">
        <v>2.48</v>
      </c>
      <c r="Q98" s="5" t="n">
        <v>30.2</v>
      </c>
      <c r="R98" s="5" t="s">
        <v>53</v>
      </c>
      <c r="S98" s="5" t="s">
        <v>103</v>
      </c>
      <c r="T98" s="5" t="n">
        <v>65</v>
      </c>
      <c r="U98" s="5" t="s">
        <v>80</v>
      </c>
      <c r="V98" s="5" t="s">
        <v>453</v>
      </c>
    </row>
    <row r="99" customFormat="false" ht="15" hidden="false" customHeight="false" outlineLevel="0" collapsed="false">
      <c r="A99" s="5" t="n">
        <v>98</v>
      </c>
      <c r="B99" s="5" t="s">
        <v>454</v>
      </c>
      <c r="C99" s="6" t="s">
        <v>49</v>
      </c>
      <c r="D99" s="5" t="s">
        <v>50</v>
      </c>
      <c r="E99" s="5" t="s">
        <v>51</v>
      </c>
      <c r="F99" s="5"/>
      <c r="G99" s="5"/>
      <c r="H99" s="5" t="s">
        <v>455</v>
      </c>
      <c r="I99" s="5"/>
      <c r="J99" s="7" t="n">
        <v>8625</v>
      </c>
      <c r="K99" s="8" t="n">
        <v>24700</v>
      </c>
      <c r="L99" s="8" t="n">
        <v>88</v>
      </c>
      <c r="M99" s="8" t="n">
        <v>24025</v>
      </c>
      <c r="N99" s="8" t="n">
        <v>4546635</v>
      </c>
      <c r="O99" s="5" t="n">
        <v>11.1</v>
      </c>
      <c r="P99" s="9" t="n">
        <v>1.9</v>
      </c>
      <c r="Q99" s="5" t="n">
        <v>0.89</v>
      </c>
      <c r="R99" s="5" t="s">
        <v>53</v>
      </c>
      <c r="S99" s="5" t="s">
        <v>65</v>
      </c>
      <c r="T99" s="5" t="n">
        <v>30</v>
      </c>
      <c r="U99" s="5" t="s">
        <v>55</v>
      </c>
      <c r="V99" s="5" t="s">
        <v>456</v>
      </c>
    </row>
    <row r="100" customFormat="false" ht="15" hidden="false" customHeight="false" outlineLevel="0" collapsed="false">
      <c r="A100" s="5" t="n">
        <v>99</v>
      </c>
      <c r="B100" s="5" t="s">
        <v>457</v>
      </c>
      <c r="C100" s="6" t="s">
        <v>49</v>
      </c>
      <c r="D100" s="5" t="s">
        <v>274</v>
      </c>
      <c r="E100" s="5" t="s">
        <v>275</v>
      </c>
      <c r="F100" s="5" t="s">
        <v>76</v>
      </c>
      <c r="G100" s="5" t="s">
        <v>101</v>
      </c>
      <c r="H100" s="5" t="s">
        <v>276</v>
      </c>
      <c r="I100" s="5" t="s">
        <v>94</v>
      </c>
      <c r="J100" s="7" t="n">
        <v>8615</v>
      </c>
      <c r="K100" s="8" t="n">
        <v>3320</v>
      </c>
      <c r="L100" s="8" t="n">
        <v>4</v>
      </c>
      <c r="M100" s="8" t="n">
        <v>541500</v>
      </c>
      <c r="N100" s="8" t="n">
        <v>2166000</v>
      </c>
      <c r="O100" s="5" t="n">
        <v>15.9</v>
      </c>
      <c r="P100" s="9" t="n">
        <v>3.98</v>
      </c>
      <c r="Q100" s="5" t="n">
        <v>102.35</v>
      </c>
      <c r="R100" s="5" t="s">
        <v>53</v>
      </c>
      <c r="S100" s="5" t="s">
        <v>458</v>
      </c>
      <c r="T100" s="5" t="n">
        <v>12</v>
      </c>
      <c r="U100" s="5" t="s">
        <v>80</v>
      </c>
      <c r="V100" s="5" t="s">
        <v>459</v>
      </c>
    </row>
    <row r="101" customFormat="false" ht="15" hidden="false" customHeight="false" outlineLevel="0" collapsed="false">
      <c r="A101" s="5" t="n">
        <v>100</v>
      </c>
      <c r="B101" s="5" t="s">
        <v>460</v>
      </c>
      <c r="C101" s="6" t="s">
        <v>49</v>
      </c>
      <c r="D101" s="5" t="s">
        <v>331</v>
      </c>
      <c r="E101" s="5" t="s">
        <v>332</v>
      </c>
      <c r="F101" s="5" t="s">
        <v>76</v>
      </c>
      <c r="G101" s="5" t="s">
        <v>101</v>
      </c>
      <c r="H101" s="5" t="s">
        <v>461</v>
      </c>
      <c r="I101" s="5" t="s">
        <v>78</v>
      </c>
      <c r="J101" s="7" t="n">
        <v>8593</v>
      </c>
      <c r="K101" s="8" t="n">
        <v>22900</v>
      </c>
      <c r="L101" s="8" t="n">
        <v>136</v>
      </c>
      <c r="M101" s="8" t="n">
        <v>151002.84</v>
      </c>
      <c r="N101" s="8" t="n">
        <v>4024764</v>
      </c>
      <c r="O101" s="5" t="n">
        <v>14.5</v>
      </c>
      <c r="P101" s="9" t="n">
        <v>2.13</v>
      </c>
      <c r="Q101" s="5" t="n">
        <v>2.95</v>
      </c>
      <c r="R101" s="5" t="s">
        <v>53</v>
      </c>
      <c r="S101" s="5" t="s">
        <v>462</v>
      </c>
      <c r="T101" s="5" t="n">
        <v>94</v>
      </c>
      <c r="U101" s="5" t="s">
        <v>80</v>
      </c>
      <c r="V101" s="5" t="s">
        <v>463</v>
      </c>
    </row>
    <row r="102" customFormat="false" ht="15" hidden="false" customHeight="false" outlineLevel="0" collapsed="false">
      <c r="A102" s="5" t="n">
        <v>101</v>
      </c>
      <c r="B102" s="5" t="s">
        <v>464</v>
      </c>
      <c r="C102" s="6" t="s">
        <v>49</v>
      </c>
      <c r="D102" s="5" t="s">
        <v>351</v>
      </c>
      <c r="E102" s="5" t="s">
        <v>352</v>
      </c>
      <c r="F102" s="5" t="s">
        <v>212</v>
      </c>
      <c r="G102" s="5"/>
      <c r="H102" s="5" t="s">
        <v>465</v>
      </c>
      <c r="I102" s="5" t="s">
        <v>78</v>
      </c>
      <c r="J102" s="7" t="n">
        <v>8539</v>
      </c>
      <c r="K102" s="8" t="n">
        <v>3670</v>
      </c>
      <c r="L102" s="8" t="n">
        <v>55</v>
      </c>
      <c r="M102" s="8" t="n">
        <v>42273.67</v>
      </c>
      <c r="N102" s="8" t="n">
        <v>1849265</v>
      </c>
      <c r="O102" s="5" t="n">
        <v>9.9</v>
      </c>
      <c r="P102" s="9" t="n">
        <v>4.62</v>
      </c>
      <c r="Q102" s="5" t="n">
        <v>0.47</v>
      </c>
      <c r="R102" s="5" t="s">
        <v>53</v>
      </c>
      <c r="S102" s="5" t="s">
        <v>96</v>
      </c>
      <c r="T102" s="5" t="n">
        <v>33</v>
      </c>
      <c r="U102" s="5" t="s">
        <v>80</v>
      </c>
      <c r="V102" s="5" t="s">
        <v>466</v>
      </c>
    </row>
    <row r="103" customFormat="false" ht="15" hidden="false" customHeight="false" outlineLevel="0" collapsed="false">
      <c r="A103" s="5" t="n">
        <v>102</v>
      </c>
      <c r="B103" s="5" t="s">
        <v>467</v>
      </c>
      <c r="C103" s="6" t="s">
        <v>49</v>
      </c>
      <c r="D103" s="5" t="s">
        <v>139</v>
      </c>
      <c r="E103" s="5" t="s">
        <v>140</v>
      </c>
      <c r="F103" s="5" t="s">
        <v>76</v>
      </c>
      <c r="G103" s="5"/>
      <c r="H103" s="5" t="s">
        <v>245</v>
      </c>
      <c r="I103" s="5" t="s">
        <v>109</v>
      </c>
      <c r="J103" s="7" t="n">
        <v>8476</v>
      </c>
      <c r="K103" s="8" t="n">
        <v>88600</v>
      </c>
      <c r="L103" s="8" t="n">
        <v>98</v>
      </c>
      <c r="M103" s="8" t="n">
        <v>118489.69</v>
      </c>
      <c r="N103" s="8" t="n">
        <v>1761143</v>
      </c>
      <c r="O103" s="5" t="n">
        <v>23.6</v>
      </c>
      <c r="P103" s="9" t="n">
        <v>4.81</v>
      </c>
      <c r="Q103" s="5" t="n">
        <v>0.62</v>
      </c>
      <c r="R103" s="5" t="s">
        <v>95</v>
      </c>
      <c r="S103" s="5" t="s">
        <v>116</v>
      </c>
      <c r="T103" s="5" t="n">
        <v>126</v>
      </c>
      <c r="U103" s="5" t="s">
        <v>80</v>
      </c>
      <c r="V103" s="5" t="s">
        <v>468</v>
      </c>
    </row>
    <row r="104" customFormat="false" ht="15" hidden="false" customHeight="false" outlineLevel="0" collapsed="false">
      <c r="A104" s="5" t="n">
        <v>103</v>
      </c>
      <c r="B104" s="5" t="s">
        <v>469</v>
      </c>
      <c r="C104" s="6" t="s">
        <v>49</v>
      </c>
      <c r="D104" s="5" t="s">
        <v>351</v>
      </c>
      <c r="E104" s="5" t="s">
        <v>352</v>
      </c>
      <c r="F104" s="5" t="s">
        <v>76</v>
      </c>
      <c r="G104" s="5"/>
      <c r="H104" s="5" t="s">
        <v>470</v>
      </c>
      <c r="I104" s="5" t="s">
        <v>78</v>
      </c>
      <c r="J104" s="7" t="n">
        <v>8451</v>
      </c>
      <c r="K104" s="8" t="n">
        <v>21400</v>
      </c>
      <c r="L104" s="8" t="n">
        <v>21</v>
      </c>
      <c r="M104" s="8" t="n">
        <v>110796.24</v>
      </c>
      <c r="N104" s="8" t="n">
        <v>2046398</v>
      </c>
      <c r="O104" s="5" t="n">
        <v>22.8</v>
      </c>
      <c r="P104" s="9" t="n">
        <v>4.13</v>
      </c>
      <c r="Q104" s="5" t="n">
        <v>0.87</v>
      </c>
      <c r="R104" s="5" t="s">
        <v>53</v>
      </c>
      <c r="S104" s="5" t="s">
        <v>96</v>
      </c>
      <c r="T104" s="5" t="n">
        <v>33</v>
      </c>
      <c r="U104" s="5" t="s">
        <v>80</v>
      </c>
      <c r="V104" s="5" t="s">
        <v>471</v>
      </c>
    </row>
    <row r="105" customFormat="false" ht="15" hidden="false" customHeight="false" outlineLevel="0" collapsed="false">
      <c r="A105" s="5" t="n">
        <v>104</v>
      </c>
      <c r="B105" s="5" t="s">
        <v>472</v>
      </c>
      <c r="C105" s="6" t="s">
        <v>49</v>
      </c>
      <c r="D105" s="5" t="s">
        <v>125</v>
      </c>
      <c r="E105" s="5" t="s">
        <v>126</v>
      </c>
      <c r="F105" s="5" t="s">
        <v>76</v>
      </c>
      <c r="G105" s="5" t="s">
        <v>101</v>
      </c>
      <c r="H105" s="5" t="s">
        <v>473</v>
      </c>
      <c r="I105" s="5" t="s">
        <v>94</v>
      </c>
      <c r="J105" s="7" t="n">
        <v>8310</v>
      </c>
      <c r="K105" s="8" t="n">
        <v>3070</v>
      </c>
      <c r="L105" s="8" t="n">
        <v>7</v>
      </c>
      <c r="M105" s="8" t="n">
        <v>118112.14</v>
      </c>
      <c r="N105" s="8" t="n">
        <v>1751098</v>
      </c>
      <c r="O105" s="5" t="n">
        <v>25.1</v>
      </c>
      <c r="P105" s="9" t="n">
        <v>4.75</v>
      </c>
      <c r="Q105" s="5" t="n">
        <v>1.79</v>
      </c>
      <c r="R105" s="5" t="s">
        <v>53</v>
      </c>
      <c r="S105" s="5" t="s">
        <v>334</v>
      </c>
      <c r="T105" s="5" t="n">
        <v>17</v>
      </c>
      <c r="U105" s="5" t="s">
        <v>80</v>
      </c>
      <c r="V105" s="5" t="s">
        <v>474</v>
      </c>
    </row>
    <row r="106" customFormat="false" ht="15" hidden="false" customHeight="false" outlineLevel="0" collapsed="false">
      <c r="A106" s="5" t="n">
        <v>105</v>
      </c>
      <c r="B106" s="5" t="s">
        <v>475</v>
      </c>
      <c r="C106" s="6" t="s">
        <v>49</v>
      </c>
      <c r="D106" s="5" t="s">
        <v>231</v>
      </c>
      <c r="E106" s="5" t="s">
        <v>232</v>
      </c>
      <c r="F106" s="5" t="s">
        <v>212</v>
      </c>
      <c r="G106" s="5"/>
      <c r="H106" s="5" t="s">
        <v>93</v>
      </c>
      <c r="I106" s="5" t="s">
        <v>94</v>
      </c>
      <c r="J106" s="7" t="n">
        <v>8166</v>
      </c>
      <c r="K106" s="8" t="n">
        <v>16400</v>
      </c>
      <c r="L106" s="8" t="n">
        <v>51</v>
      </c>
      <c r="M106" s="8" t="n">
        <v>69803.37</v>
      </c>
      <c r="N106" s="8" t="n">
        <v>2416536</v>
      </c>
      <c r="O106" s="5" t="n">
        <v>29.2</v>
      </c>
      <c r="P106" s="9" t="n">
        <v>3.38</v>
      </c>
      <c r="Q106" s="5" t="n">
        <v>2</v>
      </c>
      <c r="R106" s="5" t="s">
        <v>53</v>
      </c>
      <c r="S106" s="5" t="s">
        <v>375</v>
      </c>
      <c r="T106" s="5" t="n">
        <v>125</v>
      </c>
      <c r="U106" s="5" t="s">
        <v>80</v>
      </c>
      <c r="V106" s="5" t="s">
        <v>476</v>
      </c>
    </row>
    <row r="107" customFormat="false" ht="15" hidden="false" customHeight="false" outlineLevel="0" collapsed="false">
      <c r="A107" s="5" t="n">
        <v>106</v>
      </c>
      <c r="B107" s="5" t="s">
        <v>477</v>
      </c>
      <c r="C107" s="6" t="s">
        <v>49</v>
      </c>
      <c r="D107" s="5" t="s">
        <v>307</v>
      </c>
      <c r="E107" s="5" t="s">
        <v>308</v>
      </c>
      <c r="F107" s="5" t="s">
        <v>76</v>
      </c>
      <c r="G107" s="5" t="s">
        <v>101</v>
      </c>
      <c r="H107" s="5" t="s">
        <v>310</v>
      </c>
      <c r="I107" s="5" t="s">
        <v>78</v>
      </c>
      <c r="J107" s="7" t="n">
        <v>8157</v>
      </c>
      <c r="K107" s="8" t="n">
        <v>1910</v>
      </c>
      <c r="L107" s="8" t="n">
        <v>14</v>
      </c>
      <c r="M107" s="8" t="n">
        <v>92957.79</v>
      </c>
      <c r="N107" s="8" t="n">
        <v>2706986</v>
      </c>
      <c r="O107" s="5" t="n">
        <v>13</v>
      </c>
      <c r="P107" s="9" t="n">
        <v>3.01</v>
      </c>
      <c r="Q107" s="5" t="n">
        <v>7.65</v>
      </c>
      <c r="R107" s="5" t="s">
        <v>95</v>
      </c>
      <c r="S107" s="5" t="s">
        <v>334</v>
      </c>
      <c r="T107" s="5" t="n">
        <v>17</v>
      </c>
      <c r="U107" s="5" t="s">
        <v>80</v>
      </c>
      <c r="V107" s="5" t="s">
        <v>478</v>
      </c>
    </row>
    <row r="108" customFormat="false" ht="15" hidden="false" customHeight="false" outlineLevel="0" collapsed="false">
      <c r="A108" s="5" t="n">
        <v>107</v>
      </c>
      <c r="B108" s="5" t="s">
        <v>479</v>
      </c>
      <c r="C108" s="6" t="s">
        <v>49</v>
      </c>
      <c r="D108" s="5" t="s">
        <v>187</v>
      </c>
      <c r="E108" s="5" t="s">
        <v>188</v>
      </c>
      <c r="F108" s="5" t="s">
        <v>76</v>
      </c>
      <c r="G108" s="5" t="s">
        <v>101</v>
      </c>
      <c r="H108" s="5" t="s">
        <v>220</v>
      </c>
      <c r="I108" s="5" t="s">
        <v>300</v>
      </c>
      <c r="J108" s="7" t="n">
        <v>8138</v>
      </c>
      <c r="K108" s="8" t="n">
        <v>2420</v>
      </c>
      <c r="L108" s="8" t="n">
        <v>93</v>
      </c>
      <c r="M108" s="8" t="n">
        <v>13185.74</v>
      </c>
      <c r="N108" s="8" t="n">
        <v>1031016</v>
      </c>
      <c r="O108" s="5" t="n">
        <v>69.7</v>
      </c>
      <c r="P108" s="9" t="n">
        <v>7.89</v>
      </c>
      <c r="Q108" s="5" t="n">
        <v>1.53</v>
      </c>
      <c r="R108" s="5" t="s">
        <v>53</v>
      </c>
      <c r="S108" s="5" t="s">
        <v>96</v>
      </c>
      <c r="T108" s="5" t="n">
        <v>33</v>
      </c>
      <c r="U108" s="5" t="s">
        <v>80</v>
      </c>
      <c r="V108" s="5" t="s">
        <v>480</v>
      </c>
    </row>
    <row r="109" customFormat="false" ht="15" hidden="false" customHeight="false" outlineLevel="0" collapsed="false">
      <c r="A109" s="5" t="n">
        <v>108</v>
      </c>
      <c r="B109" s="5" t="s">
        <v>481</v>
      </c>
      <c r="C109" s="6" t="s">
        <v>49</v>
      </c>
      <c r="D109" s="5" t="s">
        <v>162</v>
      </c>
      <c r="E109" s="5" t="s">
        <v>163</v>
      </c>
      <c r="F109" s="5" t="s">
        <v>76</v>
      </c>
      <c r="G109" s="5" t="s">
        <v>309</v>
      </c>
      <c r="H109" s="5" t="s">
        <v>401</v>
      </c>
      <c r="I109" s="5" t="s">
        <v>122</v>
      </c>
      <c r="J109" s="7" t="n">
        <v>8074</v>
      </c>
      <c r="K109" s="8" t="n">
        <v>31400</v>
      </c>
      <c r="L109" s="8" t="n">
        <v>110</v>
      </c>
      <c r="M109" s="8" t="n">
        <v>72896.78</v>
      </c>
      <c r="N109" s="8" t="n">
        <v>6243671</v>
      </c>
      <c r="O109" s="5" t="n">
        <v>120.7</v>
      </c>
      <c r="P109" s="9" t="n">
        <v>1.29</v>
      </c>
      <c r="Q109" s="5" t="n">
        <v>0.57</v>
      </c>
      <c r="R109" s="5" t="s">
        <v>95</v>
      </c>
      <c r="S109" s="5" t="s">
        <v>184</v>
      </c>
      <c r="T109" s="5" t="n">
        <v>64</v>
      </c>
      <c r="U109" s="5" t="s">
        <v>80</v>
      </c>
      <c r="V109" s="10" t="s">
        <v>482</v>
      </c>
    </row>
    <row r="110" customFormat="false" ht="15" hidden="false" customHeight="false" outlineLevel="0" collapsed="false">
      <c r="A110" s="5" t="n">
        <v>109</v>
      </c>
      <c r="B110" s="5" t="s">
        <v>483</v>
      </c>
      <c r="C110" s="6" t="s">
        <v>49</v>
      </c>
      <c r="D110" s="5" t="s">
        <v>162</v>
      </c>
      <c r="E110" s="5" t="s">
        <v>163</v>
      </c>
      <c r="F110" s="5" t="s">
        <v>76</v>
      </c>
      <c r="G110" s="5" t="s">
        <v>101</v>
      </c>
      <c r="H110" s="5" t="s">
        <v>484</v>
      </c>
      <c r="I110" s="5" t="s">
        <v>300</v>
      </c>
      <c r="J110" s="7" t="n">
        <v>7945</v>
      </c>
      <c r="K110" s="8" t="n">
        <v>4030</v>
      </c>
      <c r="L110" s="8" t="n">
        <v>147</v>
      </c>
      <c r="M110" s="8" t="n">
        <v>9254.07</v>
      </c>
      <c r="N110" s="8" t="n">
        <v>943185</v>
      </c>
      <c r="O110" s="5" t="n">
        <v>154.2</v>
      </c>
      <c r="P110" s="9" t="n">
        <v>8.42</v>
      </c>
      <c r="Q110" s="5" t="n">
        <v>1.12</v>
      </c>
      <c r="R110" s="5" t="s">
        <v>53</v>
      </c>
      <c r="S110" s="5" t="s">
        <v>375</v>
      </c>
      <c r="T110" s="5" t="n">
        <v>125</v>
      </c>
      <c r="U110" s="5" t="s">
        <v>80</v>
      </c>
      <c r="V110" s="5" t="s">
        <v>485</v>
      </c>
    </row>
    <row r="111" customFormat="false" ht="15" hidden="false" customHeight="false" outlineLevel="0" collapsed="false">
      <c r="A111" s="5" t="n">
        <v>110</v>
      </c>
      <c r="B111" s="5" t="s">
        <v>486</v>
      </c>
      <c r="C111" s="6" t="s">
        <v>49</v>
      </c>
      <c r="D111" s="5" t="s">
        <v>487</v>
      </c>
      <c r="E111" s="5" t="s">
        <v>488</v>
      </c>
      <c r="F111" s="5" t="s">
        <v>76</v>
      </c>
      <c r="G111" s="5"/>
      <c r="H111" s="5" t="s">
        <v>93</v>
      </c>
      <c r="I111" s="5" t="s">
        <v>94</v>
      </c>
      <c r="J111" s="7" t="n">
        <v>7894</v>
      </c>
      <c r="K111" s="8" t="n">
        <v>32800</v>
      </c>
      <c r="L111" s="8" t="n">
        <v>73</v>
      </c>
      <c r="M111" s="8" t="n">
        <v>65939.73</v>
      </c>
      <c r="N111" s="8" t="n">
        <v>2603736</v>
      </c>
      <c r="O111" s="5" t="n">
        <v>28.2</v>
      </c>
      <c r="P111" s="9" t="n">
        <v>3.03</v>
      </c>
      <c r="Q111" s="5" t="n">
        <v>2.3</v>
      </c>
      <c r="R111" s="5" t="s">
        <v>53</v>
      </c>
      <c r="S111" s="5" t="s">
        <v>79</v>
      </c>
      <c r="T111" s="5" t="n">
        <v>96</v>
      </c>
      <c r="U111" s="5" t="s">
        <v>80</v>
      </c>
      <c r="V111" s="5" t="s">
        <v>489</v>
      </c>
    </row>
    <row r="112" customFormat="false" ht="15" hidden="false" customHeight="false" outlineLevel="0" collapsed="false">
      <c r="A112" s="5" t="n">
        <v>111</v>
      </c>
      <c r="B112" s="5" t="s">
        <v>490</v>
      </c>
      <c r="C112" s="6" t="s">
        <v>49</v>
      </c>
      <c r="D112" s="5" t="s">
        <v>408</v>
      </c>
      <c r="E112" s="5" t="s">
        <v>409</v>
      </c>
      <c r="F112" s="5" t="s">
        <v>76</v>
      </c>
      <c r="G112" s="5"/>
      <c r="H112" s="5" t="s">
        <v>115</v>
      </c>
      <c r="I112" s="5" t="s">
        <v>94</v>
      </c>
      <c r="J112" s="7" t="n">
        <v>7867</v>
      </c>
      <c r="K112" s="8" t="n">
        <v>4640</v>
      </c>
      <c r="L112" s="8" t="n">
        <v>42</v>
      </c>
      <c r="M112" s="8" t="n">
        <v>40606.95</v>
      </c>
      <c r="N112" s="8" t="n">
        <v>1172395</v>
      </c>
      <c r="O112" s="5" t="n">
        <v>28</v>
      </c>
      <c r="P112" s="9" t="n">
        <v>6.71</v>
      </c>
      <c r="Q112" s="5" t="n">
        <v>2.38</v>
      </c>
      <c r="R112" s="5" t="s">
        <v>53</v>
      </c>
      <c r="S112" s="5" t="s">
        <v>184</v>
      </c>
      <c r="T112" s="5" t="n">
        <v>64</v>
      </c>
      <c r="U112" s="5" t="s">
        <v>80</v>
      </c>
      <c r="V112" s="5" t="s">
        <v>491</v>
      </c>
    </row>
    <row r="113" customFormat="false" ht="15" hidden="false" customHeight="false" outlineLevel="0" collapsed="false">
      <c r="A113" s="5" t="n">
        <v>112</v>
      </c>
      <c r="B113" s="5" t="s">
        <v>492</v>
      </c>
      <c r="C113" s="6" t="s">
        <v>49</v>
      </c>
      <c r="D113" s="5" t="s">
        <v>162</v>
      </c>
      <c r="E113" s="5" t="s">
        <v>163</v>
      </c>
      <c r="F113" s="5" t="s">
        <v>76</v>
      </c>
      <c r="G113" s="5" t="s">
        <v>101</v>
      </c>
      <c r="H113" s="5" t="s">
        <v>440</v>
      </c>
      <c r="I113" s="5" t="s">
        <v>122</v>
      </c>
      <c r="J113" s="7" t="n">
        <v>7843</v>
      </c>
      <c r="K113" s="8" t="n">
        <v>13000</v>
      </c>
      <c r="L113" s="8" t="n">
        <v>69</v>
      </c>
      <c r="M113" s="8" t="n">
        <v>56462.32</v>
      </c>
      <c r="N113" s="8" t="n">
        <v>1092382</v>
      </c>
      <c r="O113" s="5" t="n">
        <v>46.5</v>
      </c>
      <c r="P113" s="9" t="n">
        <v>7.18</v>
      </c>
      <c r="Q113" s="5" t="n">
        <v>1.3</v>
      </c>
      <c r="R113" s="5" t="s">
        <v>95</v>
      </c>
      <c r="S113" s="5" t="s">
        <v>375</v>
      </c>
      <c r="T113" s="5" t="n">
        <v>125</v>
      </c>
      <c r="U113" s="5" t="s">
        <v>80</v>
      </c>
      <c r="V113" s="10" t="s">
        <v>493</v>
      </c>
    </row>
    <row r="114" customFormat="false" ht="15" hidden="false" customHeight="false" outlineLevel="0" collapsed="false">
      <c r="A114" s="5" t="n">
        <v>113</v>
      </c>
      <c r="B114" s="5" t="s">
        <v>494</v>
      </c>
      <c r="C114" s="6" t="s">
        <v>49</v>
      </c>
      <c r="D114" s="5" t="s">
        <v>351</v>
      </c>
      <c r="E114" s="5" t="s">
        <v>352</v>
      </c>
      <c r="F114" s="5" t="s">
        <v>76</v>
      </c>
      <c r="G114" s="5" t="s">
        <v>101</v>
      </c>
      <c r="H114" s="5" t="s">
        <v>108</v>
      </c>
      <c r="I114" s="5" t="s">
        <v>109</v>
      </c>
      <c r="J114" s="7" t="n">
        <v>7822</v>
      </c>
      <c r="K114" s="8" t="n">
        <v>11400</v>
      </c>
      <c r="L114" s="8" t="n">
        <v>52</v>
      </c>
      <c r="M114" s="8" t="n">
        <v>25965.92</v>
      </c>
      <c r="N114" s="8" t="n">
        <v>760962</v>
      </c>
      <c r="O114" s="5" t="n">
        <v>28.2</v>
      </c>
      <c r="P114" s="9" t="n">
        <v>10.28</v>
      </c>
      <c r="Q114" s="5" t="n">
        <v>0.05</v>
      </c>
      <c r="R114" s="5" t="s">
        <v>53</v>
      </c>
      <c r="S114" s="5" t="s">
        <v>103</v>
      </c>
      <c r="T114" s="5" t="n">
        <v>65</v>
      </c>
      <c r="U114" s="5" t="s">
        <v>80</v>
      </c>
      <c r="V114" s="5" t="s">
        <v>495</v>
      </c>
    </row>
    <row r="115" customFormat="false" ht="15" hidden="false" customHeight="false" outlineLevel="0" collapsed="false">
      <c r="A115" s="5" t="n">
        <v>114</v>
      </c>
      <c r="B115" s="5" t="s">
        <v>496</v>
      </c>
      <c r="C115" s="6" t="s">
        <v>49</v>
      </c>
      <c r="D115" s="5" t="s">
        <v>113</v>
      </c>
      <c r="E115" s="5" t="s">
        <v>114</v>
      </c>
      <c r="F115" s="5" t="s">
        <v>76</v>
      </c>
      <c r="G115" s="5" t="s">
        <v>101</v>
      </c>
      <c r="H115" s="5" t="s">
        <v>214</v>
      </c>
      <c r="I115" s="5" t="s">
        <v>94</v>
      </c>
      <c r="J115" s="7" t="n">
        <v>7787</v>
      </c>
      <c r="K115" s="8" t="n">
        <v>4420</v>
      </c>
      <c r="L115" s="8" t="n">
        <v>14</v>
      </c>
      <c r="M115" s="8" t="n">
        <v>42155.21</v>
      </c>
      <c r="N115" s="8" t="n">
        <v>577079</v>
      </c>
      <c r="O115" s="5" t="n">
        <v>181.8</v>
      </c>
      <c r="P115" s="9" t="n">
        <v>13.49</v>
      </c>
      <c r="Q115" s="5" t="n">
        <v>12.21</v>
      </c>
      <c r="R115" s="5" t="s">
        <v>53</v>
      </c>
      <c r="S115" s="5" t="s">
        <v>96</v>
      </c>
      <c r="T115" s="5" t="n">
        <v>33</v>
      </c>
      <c r="U115" s="5" t="s">
        <v>80</v>
      </c>
      <c r="V115" s="5" t="s">
        <v>497</v>
      </c>
    </row>
    <row r="116" customFormat="false" ht="15" hidden="false" customHeight="false" outlineLevel="0" collapsed="false">
      <c r="A116" s="5" t="n">
        <v>115</v>
      </c>
      <c r="B116" s="5" t="s">
        <v>498</v>
      </c>
      <c r="C116" s="6" t="s">
        <v>49</v>
      </c>
      <c r="D116" s="5" t="s">
        <v>83</v>
      </c>
      <c r="E116" s="5" t="s">
        <v>84</v>
      </c>
      <c r="F116" s="5" t="s">
        <v>76</v>
      </c>
      <c r="G116" s="5" t="s">
        <v>101</v>
      </c>
      <c r="H116" s="5" t="s">
        <v>499</v>
      </c>
      <c r="I116" s="5" t="s">
        <v>78</v>
      </c>
      <c r="J116" s="7" t="n">
        <v>7783</v>
      </c>
      <c r="K116" s="8" t="n">
        <v>41100</v>
      </c>
      <c r="L116" s="8" t="n">
        <v>232</v>
      </c>
      <c r="M116" s="8" t="n">
        <v>31304.29</v>
      </c>
      <c r="N116" s="8" t="n">
        <v>2848163</v>
      </c>
      <c r="O116" s="5" t="n">
        <v>18.5</v>
      </c>
      <c r="P116" s="9" t="n">
        <v>2.73</v>
      </c>
      <c r="Q116" s="5" t="n">
        <v>1.8</v>
      </c>
      <c r="R116" s="5" t="s">
        <v>53</v>
      </c>
      <c r="S116" s="5" t="s">
        <v>116</v>
      </c>
      <c r="T116" s="5" t="n">
        <v>126</v>
      </c>
      <c r="U116" s="5" t="s">
        <v>80</v>
      </c>
      <c r="V116" s="5" t="s">
        <v>500</v>
      </c>
    </row>
    <row r="117" customFormat="false" ht="15" hidden="false" customHeight="false" outlineLevel="0" collapsed="false">
      <c r="A117" s="5" t="n">
        <v>116</v>
      </c>
      <c r="B117" s="5" t="s">
        <v>501</v>
      </c>
      <c r="C117" s="6" t="s">
        <v>49</v>
      </c>
      <c r="D117" s="5" t="s">
        <v>129</v>
      </c>
      <c r="E117" s="5" t="s">
        <v>130</v>
      </c>
      <c r="F117" s="5" t="s">
        <v>76</v>
      </c>
      <c r="G117" s="5" t="s">
        <v>101</v>
      </c>
      <c r="H117" s="5" t="s">
        <v>131</v>
      </c>
      <c r="I117" s="5" t="s">
        <v>94</v>
      </c>
      <c r="J117" s="7" t="n">
        <v>7754</v>
      </c>
      <c r="K117" s="8" t="n">
        <v>1320</v>
      </c>
      <c r="L117" s="8" t="n">
        <v>28</v>
      </c>
      <c r="M117" s="8" t="n">
        <v>19439.29</v>
      </c>
      <c r="N117" s="8" t="n">
        <v>670397</v>
      </c>
      <c r="O117" s="5" t="n">
        <v>152.7</v>
      </c>
      <c r="P117" s="9" t="n">
        <v>11.57</v>
      </c>
      <c r="Q117" s="5" t="n">
        <v>4.26</v>
      </c>
      <c r="R117" s="5" t="s">
        <v>53</v>
      </c>
      <c r="S117" s="5" t="s">
        <v>428</v>
      </c>
      <c r="T117" s="5" t="n">
        <v>31</v>
      </c>
      <c r="U117" s="5" t="s">
        <v>80</v>
      </c>
      <c r="V117" s="5" t="s">
        <v>502</v>
      </c>
    </row>
    <row r="118" customFormat="false" ht="15" hidden="false" customHeight="false" outlineLevel="0" collapsed="false">
      <c r="A118" s="5" t="n">
        <v>117</v>
      </c>
      <c r="B118" s="5" t="s">
        <v>503</v>
      </c>
      <c r="C118" s="6" t="s">
        <v>49</v>
      </c>
      <c r="D118" s="5" t="s">
        <v>418</v>
      </c>
      <c r="E118" s="5" t="s">
        <v>419</v>
      </c>
      <c r="F118" s="5" t="s">
        <v>212</v>
      </c>
      <c r="G118" s="5"/>
      <c r="H118" s="5" t="s">
        <v>504</v>
      </c>
      <c r="I118" s="5" t="s">
        <v>505</v>
      </c>
      <c r="J118" s="7" t="n">
        <v>7660</v>
      </c>
      <c r="K118" s="8" t="n">
        <v>20500</v>
      </c>
      <c r="L118" s="8" t="n">
        <v>34</v>
      </c>
      <c r="M118" s="8" t="n">
        <v>149873.53</v>
      </c>
      <c r="N118" s="8" t="n">
        <v>3682743</v>
      </c>
      <c r="O118" s="5" t="n">
        <v>9.8</v>
      </c>
      <c r="P118" s="9" t="n">
        <v>2.08</v>
      </c>
      <c r="Q118" s="5" t="n">
        <v>4.95</v>
      </c>
      <c r="R118" s="5" t="s">
        <v>95</v>
      </c>
      <c r="S118" s="5" t="s">
        <v>293</v>
      </c>
      <c r="T118" s="5" t="n">
        <v>32</v>
      </c>
      <c r="U118" s="5" t="s">
        <v>80</v>
      </c>
      <c r="V118" s="5" t="s">
        <v>506</v>
      </c>
    </row>
    <row r="119" customFormat="false" ht="15" hidden="false" customHeight="false" outlineLevel="0" collapsed="false">
      <c r="A119" s="5" t="n">
        <v>118</v>
      </c>
      <c r="B119" s="5" t="s">
        <v>507</v>
      </c>
      <c r="C119" s="6" t="s">
        <v>49</v>
      </c>
      <c r="D119" s="5" t="s">
        <v>170</v>
      </c>
      <c r="E119" s="5" t="s">
        <v>171</v>
      </c>
      <c r="F119" s="5" t="s">
        <v>76</v>
      </c>
      <c r="G119" s="5" t="s">
        <v>101</v>
      </c>
      <c r="H119" s="5" t="s">
        <v>115</v>
      </c>
      <c r="I119" s="5" t="s">
        <v>94</v>
      </c>
      <c r="J119" s="7" t="n">
        <v>7646</v>
      </c>
      <c r="K119" s="8" t="n">
        <v>12600</v>
      </c>
      <c r="L119" s="8" t="n">
        <v>27</v>
      </c>
      <c r="M119" s="8" t="n">
        <v>148677.78</v>
      </c>
      <c r="N119" s="8" t="n">
        <v>2179862</v>
      </c>
      <c r="O119" s="5" t="n">
        <v>33.6</v>
      </c>
      <c r="P119" s="9" t="n">
        <v>3.51</v>
      </c>
      <c r="Q119" s="5" t="n">
        <v>7.1</v>
      </c>
      <c r="R119" s="5" t="s">
        <v>53</v>
      </c>
      <c r="S119" s="5" t="s">
        <v>103</v>
      </c>
      <c r="T119" s="5" t="n">
        <v>65</v>
      </c>
      <c r="U119" s="5" t="s">
        <v>80</v>
      </c>
      <c r="V119" s="5" t="s">
        <v>508</v>
      </c>
    </row>
    <row r="120" customFormat="false" ht="15" hidden="false" customHeight="false" outlineLevel="0" collapsed="false">
      <c r="A120" s="5" t="n">
        <v>119</v>
      </c>
      <c r="B120" s="5" t="s">
        <v>509</v>
      </c>
      <c r="C120" s="6" t="s">
        <v>49</v>
      </c>
      <c r="D120" s="5" t="s">
        <v>510</v>
      </c>
      <c r="E120" s="5" t="s">
        <v>511</v>
      </c>
      <c r="F120" s="5" t="s">
        <v>76</v>
      </c>
      <c r="G120" s="5" t="s">
        <v>101</v>
      </c>
      <c r="H120" s="5" t="s">
        <v>512</v>
      </c>
      <c r="I120" s="5" t="s">
        <v>94</v>
      </c>
      <c r="J120" s="7" t="n">
        <v>7645</v>
      </c>
      <c r="K120" s="8" t="n">
        <v>5050</v>
      </c>
      <c r="L120" s="8" t="n">
        <v>16</v>
      </c>
      <c r="M120" s="8" t="n">
        <v>105428.5</v>
      </c>
      <c r="N120" s="8" t="n">
        <v>2127763</v>
      </c>
      <c r="O120" s="5" t="n">
        <v>23.3</v>
      </c>
      <c r="P120" s="9" t="n">
        <v>3.59</v>
      </c>
      <c r="Q120" s="5" t="n">
        <v>9.71</v>
      </c>
      <c r="R120" s="5" t="s">
        <v>53</v>
      </c>
      <c r="S120" s="5" t="s">
        <v>242</v>
      </c>
      <c r="T120" s="5" t="n">
        <v>24</v>
      </c>
      <c r="U120" s="5" t="s">
        <v>80</v>
      </c>
      <c r="V120" s="5" t="s">
        <v>513</v>
      </c>
    </row>
    <row r="121" customFormat="false" ht="15" hidden="false" customHeight="false" outlineLevel="0" collapsed="false">
      <c r="A121" s="5" t="n">
        <v>120</v>
      </c>
      <c r="B121" s="5" t="s">
        <v>514</v>
      </c>
      <c r="C121" s="6" t="s">
        <v>49</v>
      </c>
      <c r="D121" s="5" t="s">
        <v>515</v>
      </c>
      <c r="E121" s="5" t="s">
        <v>516</v>
      </c>
      <c r="F121" s="5" t="s">
        <v>212</v>
      </c>
      <c r="G121" s="5" t="s">
        <v>213</v>
      </c>
      <c r="H121" s="5" t="s">
        <v>517</v>
      </c>
      <c r="I121" s="5" t="s">
        <v>518</v>
      </c>
      <c r="J121" s="7" t="n">
        <v>7601</v>
      </c>
      <c r="K121" s="8" t="n">
        <v>35000</v>
      </c>
      <c r="L121" s="8" t="n">
        <v>39</v>
      </c>
      <c r="M121" s="8" t="n">
        <v>244500</v>
      </c>
      <c r="N121" s="8" t="n">
        <v>3261816</v>
      </c>
      <c r="O121" s="5" t="n">
        <v>14.9</v>
      </c>
      <c r="P121" s="9" t="n">
        <v>2.33</v>
      </c>
      <c r="Q121" s="5" t="n">
        <v>9.05</v>
      </c>
      <c r="R121" s="5" t="s">
        <v>53</v>
      </c>
      <c r="S121" s="5" t="s">
        <v>184</v>
      </c>
      <c r="T121" s="5" t="n">
        <v>64</v>
      </c>
      <c r="U121" s="5" t="s">
        <v>80</v>
      </c>
      <c r="V121" s="5" t="s">
        <v>519</v>
      </c>
    </row>
    <row r="122" customFormat="false" ht="15" hidden="false" customHeight="false" outlineLevel="0" collapsed="false">
      <c r="A122" s="5" t="n">
        <v>121</v>
      </c>
      <c r="B122" s="5" t="s">
        <v>520</v>
      </c>
      <c r="C122" s="6" t="s">
        <v>49</v>
      </c>
      <c r="D122" s="5" t="s">
        <v>307</v>
      </c>
      <c r="E122" s="5" t="s">
        <v>308</v>
      </c>
      <c r="F122" s="5" t="s">
        <v>76</v>
      </c>
      <c r="G122" s="5" t="s">
        <v>101</v>
      </c>
      <c r="H122" s="5" t="s">
        <v>310</v>
      </c>
      <c r="I122" s="5" t="s">
        <v>94</v>
      </c>
      <c r="J122" s="7" t="n">
        <v>7583</v>
      </c>
      <c r="K122" s="8" t="n">
        <v>2310</v>
      </c>
      <c r="L122" s="8" t="n">
        <v>15</v>
      </c>
      <c r="M122" s="8" t="n">
        <v>70446.67</v>
      </c>
      <c r="N122" s="8" t="n">
        <v>1492293</v>
      </c>
      <c r="O122" s="5" t="n">
        <v>42.5</v>
      </c>
      <c r="P122" s="9" t="n">
        <v>5.08</v>
      </c>
      <c r="Q122" s="5" t="n">
        <v>6.47</v>
      </c>
      <c r="R122" s="5" t="s">
        <v>95</v>
      </c>
      <c r="S122" s="5" t="s">
        <v>242</v>
      </c>
      <c r="T122" s="5" t="n">
        <v>24</v>
      </c>
      <c r="U122" s="5" t="s">
        <v>80</v>
      </c>
      <c r="V122" s="5" t="s">
        <v>521</v>
      </c>
    </row>
    <row r="123" customFormat="false" ht="15" hidden="false" customHeight="false" outlineLevel="0" collapsed="false">
      <c r="A123" s="5" t="n">
        <v>122</v>
      </c>
      <c r="B123" s="5" t="s">
        <v>522</v>
      </c>
      <c r="C123" s="6" t="s">
        <v>49</v>
      </c>
      <c r="D123" s="5" t="s">
        <v>99</v>
      </c>
      <c r="E123" s="5" t="s">
        <v>100</v>
      </c>
      <c r="F123" s="5" t="s">
        <v>76</v>
      </c>
      <c r="G123" s="5" t="s">
        <v>101</v>
      </c>
      <c r="H123" s="5" t="s">
        <v>316</v>
      </c>
      <c r="I123" s="5" t="s">
        <v>94</v>
      </c>
      <c r="J123" s="7" t="n">
        <v>7468</v>
      </c>
      <c r="K123" s="8" t="n">
        <v>3890</v>
      </c>
      <c r="L123" s="8" t="n">
        <v>189</v>
      </c>
      <c r="M123" s="8" t="n">
        <v>31714.77</v>
      </c>
      <c r="N123" s="8" t="n">
        <v>3139116</v>
      </c>
      <c r="O123" s="5" t="n">
        <v>17.2</v>
      </c>
      <c r="P123" s="9" t="n">
        <v>2.38</v>
      </c>
      <c r="Q123" s="5" t="n">
        <v>0.21</v>
      </c>
      <c r="R123" s="5" t="s">
        <v>95</v>
      </c>
      <c r="S123" s="5" t="s">
        <v>375</v>
      </c>
      <c r="T123" s="5" t="n">
        <v>125</v>
      </c>
      <c r="U123" s="5" t="s">
        <v>80</v>
      </c>
      <c r="V123" s="5" t="s">
        <v>523</v>
      </c>
    </row>
    <row r="124" customFormat="false" ht="15" hidden="false" customHeight="false" outlineLevel="0" collapsed="false">
      <c r="A124" s="5" t="n">
        <v>123</v>
      </c>
      <c r="B124" s="5" t="s">
        <v>524</v>
      </c>
      <c r="C124" s="6" t="s">
        <v>49</v>
      </c>
      <c r="D124" s="5" t="s">
        <v>525</v>
      </c>
      <c r="E124" s="5" t="s">
        <v>526</v>
      </c>
      <c r="F124" s="5" t="s">
        <v>76</v>
      </c>
      <c r="G124" s="5" t="s">
        <v>101</v>
      </c>
      <c r="H124" s="5" t="s">
        <v>183</v>
      </c>
      <c r="I124" s="5" t="s">
        <v>122</v>
      </c>
      <c r="J124" s="7" t="n">
        <v>7434</v>
      </c>
      <c r="K124" s="8" t="n">
        <v>9350</v>
      </c>
      <c r="L124" s="8" t="n">
        <v>52</v>
      </c>
      <c r="M124" s="8" t="n">
        <v>28917.31</v>
      </c>
      <c r="N124" s="8" t="n">
        <v>979668</v>
      </c>
      <c r="O124" s="5" t="n">
        <v>57.4</v>
      </c>
      <c r="P124" s="9" t="n">
        <v>7.59</v>
      </c>
      <c r="Q124" s="5" t="n">
        <v>4.12</v>
      </c>
      <c r="R124" s="5" t="s">
        <v>95</v>
      </c>
      <c r="S124" s="5" t="s">
        <v>184</v>
      </c>
      <c r="T124" s="5" t="n">
        <v>64</v>
      </c>
      <c r="U124" s="5" t="s">
        <v>80</v>
      </c>
      <c r="V124" s="5" t="s">
        <v>527</v>
      </c>
    </row>
    <row r="125" customFormat="false" ht="15" hidden="false" customHeight="false" outlineLevel="0" collapsed="false">
      <c r="A125" s="5" t="n">
        <v>124</v>
      </c>
      <c r="B125" s="5" t="s">
        <v>528</v>
      </c>
      <c r="C125" s="6" t="s">
        <v>49</v>
      </c>
      <c r="D125" s="5" t="s">
        <v>529</v>
      </c>
      <c r="E125" s="5" t="s">
        <v>530</v>
      </c>
      <c r="F125" s="5" t="s">
        <v>76</v>
      </c>
      <c r="G125" s="5" t="s">
        <v>101</v>
      </c>
      <c r="H125" s="5" t="s">
        <v>531</v>
      </c>
      <c r="I125" s="5" t="s">
        <v>290</v>
      </c>
      <c r="J125" s="7" t="n">
        <v>7359</v>
      </c>
      <c r="K125" s="8" t="n">
        <v>43900</v>
      </c>
      <c r="L125" s="8" t="n">
        <v>64</v>
      </c>
      <c r="M125" s="8" t="n">
        <v>35484.38</v>
      </c>
      <c r="N125" s="8" t="n">
        <v>1228496</v>
      </c>
      <c r="O125" s="5" t="n">
        <v>17.5</v>
      </c>
      <c r="P125" s="9" t="n">
        <v>5.99</v>
      </c>
      <c r="Q125" s="5" t="n">
        <v>0.83</v>
      </c>
      <c r="R125" s="5" t="s">
        <v>95</v>
      </c>
      <c r="S125" s="5" t="s">
        <v>79</v>
      </c>
      <c r="T125" s="5" t="n">
        <v>96</v>
      </c>
      <c r="U125" s="5" t="s">
        <v>80</v>
      </c>
      <c r="V125" s="5" t="s">
        <v>532</v>
      </c>
    </row>
    <row r="126" customFormat="false" ht="15" hidden="false" customHeight="false" outlineLevel="0" collapsed="false">
      <c r="A126" s="5" t="n">
        <v>125</v>
      </c>
      <c r="B126" s="5" t="s">
        <v>533</v>
      </c>
      <c r="C126" s="6" t="s">
        <v>49</v>
      </c>
      <c r="D126" s="5" t="s">
        <v>385</v>
      </c>
      <c r="E126" s="5" t="s">
        <v>386</v>
      </c>
      <c r="F126" s="5" t="s">
        <v>76</v>
      </c>
      <c r="G126" s="5" t="s">
        <v>101</v>
      </c>
      <c r="H126" s="5" t="s">
        <v>93</v>
      </c>
      <c r="I126" s="5" t="s">
        <v>94</v>
      </c>
      <c r="J126" s="7" t="n">
        <v>7304</v>
      </c>
      <c r="K126" s="8" t="n">
        <v>3900</v>
      </c>
      <c r="L126" s="8" t="n">
        <v>13</v>
      </c>
      <c r="M126" s="8" t="n">
        <v>82561.54</v>
      </c>
      <c r="N126" s="8" t="n">
        <v>1203369</v>
      </c>
      <c r="O126" s="5" t="n">
        <v>40.4</v>
      </c>
      <c r="P126" s="9" t="n">
        <v>6.07</v>
      </c>
      <c r="Q126" s="5" t="n">
        <v>7.06</v>
      </c>
      <c r="R126" s="5" t="s">
        <v>53</v>
      </c>
      <c r="S126" s="5" t="s">
        <v>428</v>
      </c>
      <c r="T126" s="5" t="n">
        <v>31</v>
      </c>
      <c r="U126" s="5" t="s">
        <v>80</v>
      </c>
      <c r="V126" s="5" t="s">
        <v>534</v>
      </c>
    </row>
    <row r="127" customFormat="false" ht="15" hidden="false" customHeight="false" outlineLevel="0" collapsed="false">
      <c r="A127" s="5" t="n">
        <v>126</v>
      </c>
      <c r="B127" s="5" t="s">
        <v>535</v>
      </c>
      <c r="C127" s="6" t="s">
        <v>49</v>
      </c>
      <c r="D127" s="5" t="s">
        <v>162</v>
      </c>
      <c r="E127" s="5" t="s">
        <v>163</v>
      </c>
      <c r="F127" s="5" t="s">
        <v>76</v>
      </c>
      <c r="G127" s="5" t="s">
        <v>101</v>
      </c>
      <c r="H127" s="5" t="s">
        <v>360</v>
      </c>
      <c r="I127" s="5" t="s">
        <v>122</v>
      </c>
      <c r="J127" s="7" t="n">
        <v>7253</v>
      </c>
      <c r="K127" s="8" t="n">
        <v>4980</v>
      </c>
      <c r="L127" s="8" t="n">
        <v>140</v>
      </c>
      <c r="M127" s="8" t="n">
        <v>20762.14</v>
      </c>
      <c r="N127" s="8" t="n">
        <v>1188937</v>
      </c>
      <c r="O127" s="5" t="n">
        <v>76</v>
      </c>
      <c r="P127" s="9" t="n">
        <v>6.1</v>
      </c>
      <c r="Q127" s="5" t="n">
        <v>4.12</v>
      </c>
      <c r="R127" s="5" t="s">
        <v>95</v>
      </c>
      <c r="S127" s="5" t="s">
        <v>165</v>
      </c>
      <c r="T127" s="5" t="n">
        <v>95</v>
      </c>
      <c r="U127" s="5" t="s">
        <v>80</v>
      </c>
      <c r="V127" s="5" t="s">
        <v>536</v>
      </c>
    </row>
    <row r="128" customFormat="false" ht="15" hidden="false" customHeight="false" outlineLevel="0" collapsed="false">
      <c r="A128" s="5" t="n">
        <v>127</v>
      </c>
      <c r="B128" s="5" t="s">
        <v>537</v>
      </c>
      <c r="C128" s="6" t="s">
        <v>49</v>
      </c>
      <c r="D128" s="5" t="s">
        <v>106</v>
      </c>
      <c r="E128" s="5" t="s">
        <v>107</v>
      </c>
      <c r="F128" s="5" t="s">
        <v>212</v>
      </c>
      <c r="G128" s="5" t="s">
        <v>213</v>
      </c>
      <c r="H128" s="5" t="s">
        <v>108</v>
      </c>
      <c r="I128" s="5" t="s">
        <v>109</v>
      </c>
      <c r="J128" s="7" t="n">
        <v>7186</v>
      </c>
      <c r="K128" s="8" t="n">
        <v>9450</v>
      </c>
      <c r="L128" s="8" t="n">
        <v>48</v>
      </c>
      <c r="M128" s="8" t="n">
        <v>103329.65</v>
      </c>
      <c r="N128" s="8" t="n">
        <v>4268533</v>
      </c>
      <c r="O128" s="5" t="n">
        <v>8.6</v>
      </c>
      <c r="P128" s="9" t="n">
        <v>1.68</v>
      </c>
      <c r="Q128" s="5" t="n">
        <v>4.12</v>
      </c>
      <c r="R128" s="5" t="s">
        <v>95</v>
      </c>
      <c r="S128" s="5" t="s">
        <v>96</v>
      </c>
      <c r="T128" s="5" t="n">
        <v>33</v>
      </c>
      <c r="U128" s="5" t="s">
        <v>80</v>
      </c>
      <c r="V128" s="5" t="s">
        <v>538</v>
      </c>
    </row>
    <row r="129" customFormat="false" ht="15" hidden="false" customHeight="false" outlineLevel="0" collapsed="false">
      <c r="A129" s="5" t="n">
        <v>128</v>
      </c>
      <c r="B129" s="5" t="s">
        <v>539</v>
      </c>
      <c r="C129" s="6" t="s">
        <v>49</v>
      </c>
      <c r="D129" s="5" t="s">
        <v>187</v>
      </c>
      <c r="E129" s="5" t="s">
        <v>188</v>
      </c>
      <c r="F129" s="5" t="s">
        <v>76</v>
      </c>
      <c r="G129" s="5" t="s">
        <v>101</v>
      </c>
      <c r="H129" s="5" t="s">
        <v>540</v>
      </c>
      <c r="I129" s="5" t="s">
        <v>122</v>
      </c>
      <c r="J129" s="7" t="n">
        <v>7185</v>
      </c>
      <c r="K129" s="8" t="n">
        <v>5870</v>
      </c>
      <c r="L129" s="8" t="n">
        <v>162</v>
      </c>
      <c r="M129" s="8" t="n">
        <v>11478.48</v>
      </c>
      <c r="N129" s="8" t="n">
        <v>1443471</v>
      </c>
      <c r="O129" s="5" t="n">
        <v>25.5</v>
      </c>
      <c r="P129" s="9" t="n">
        <v>4.98</v>
      </c>
      <c r="Q129" s="5" t="n">
        <v>1.78</v>
      </c>
      <c r="R129" s="5" t="s">
        <v>53</v>
      </c>
      <c r="S129" s="5" t="s">
        <v>165</v>
      </c>
      <c r="T129" s="5" t="n">
        <v>95</v>
      </c>
      <c r="U129" s="5" t="s">
        <v>80</v>
      </c>
      <c r="V129" s="5" t="s">
        <v>541</v>
      </c>
    </row>
    <row r="130" customFormat="false" ht="15" hidden="false" customHeight="false" outlineLevel="0" collapsed="false">
      <c r="A130" s="5" t="n">
        <v>129</v>
      </c>
      <c r="B130" s="5" t="s">
        <v>542</v>
      </c>
      <c r="C130" s="6" t="s">
        <v>49</v>
      </c>
      <c r="D130" s="5" t="s">
        <v>274</v>
      </c>
      <c r="E130" s="5" t="s">
        <v>275</v>
      </c>
      <c r="F130" s="5" t="s">
        <v>76</v>
      </c>
      <c r="G130" s="5" t="s">
        <v>101</v>
      </c>
      <c r="H130" s="5" t="s">
        <v>276</v>
      </c>
      <c r="I130" s="5" t="s">
        <v>78</v>
      </c>
      <c r="J130" s="7" t="n">
        <v>7164</v>
      </c>
      <c r="K130" s="8" t="n">
        <v>5570</v>
      </c>
      <c r="L130" s="8" t="n">
        <v>41</v>
      </c>
      <c r="M130" s="8" t="n">
        <v>40331.34</v>
      </c>
      <c r="N130" s="8" t="n">
        <v>1832080</v>
      </c>
      <c r="O130" s="5" t="n">
        <v>22.8</v>
      </c>
      <c r="P130" s="9" t="n">
        <v>3.91</v>
      </c>
      <c r="Q130" s="5" t="n">
        <v>2.94</v>
      </c>
      <c r="R130" s="5" t="s">
        <v>53</v>
      </c>
      <c r="S130" s="5" t="s">
        <v>96</v>
      </c>
      <c r="T130" s="5" t="n">
        <v>33</v>
      </c>
      <c r="U130" s="5" t="s">
        <v>80</v>
      </c>
      <c r="V130" s="5" t="s">
        <v>543</v>
      </c>
    </row>
    <row r="131" customFormat="false" ht="15" hidden="false" customHeight="false" outlineLevel="0" collapsed="false">
      <c r="A131" s="5" t="n">
        <v>130</v>
      </c>
      <c r="B131" s="5" t="s">
        <v>544</v>
      </c>
      <c r="C131" s="6" t="s">
        <v>49</v>
      </c>
      <c r="D131" s="5" t="s">
        <v>545</v>
      </c>
      <c r="E131" s="5" t="s">
        <v>546</v>
      </c>
      <c r="F131" s="5" t="s">
        <v>76</v>
      </c>
      <c r="G131" s="5" t="s">
        <v>309</v>
      </c>
      <c r="H131" s="5" t="s">
        <v>547</v>
      </c>
      <c r="I131" s="5" t="s">
        <v>94</v>
      </c>
      <c r="J131" s="7" t="n">
        <v>6934</v>
      </c>
      <c r="K131" s="8" t="n">
        <v>9130</v>
      </c>
      <c r="L131" s="8" t="n">
        <v>47</v>
      </c>
      <c r="M131" s="8" t="n">
        <v>53729.43</v>
      </c>
      <c r="N131" s="8" t="n">
        <v>2246557</v>
      </c>
      <c r="O131" s="5" t="n">
        <v>64.6</v>
      </c>
      <c r="P131" s="9" t="n">
        <v>3.09</v>
      </c>
      <c r="Q131" s="5" t="n">
        <v>15.59</v>
      </c>
      <c r="R131" s="5" t="s">
        <v>53</v>
      </c>
      <c r="S131" s="5" t="s">
        <v>184</v>
      </c>
      <c r="T131" s="5" t="n">
        <v>64</v>
      </c>
      <c r="U131" s="5" t="s">
        <v>80</v>
      </c>
      <c r="V131" s="5" t="s">
        <v>548</v>
      </c>
    </row>
    <row r="132" customFormat="false" ht="15" hidden="false" customHeight="false" outlineLevel="0" collapsed="false">
      <c r="A132" s="5" t="n">
        <v>131</v>
      </c>
      <c r="B132" s="5" t="s">
        <v>549</v>
      </c>
      <c r="C132" s="6" t="s">
        <v>49</v>
      </c>
      <c r="D132" s="5" t="s">
        <v>550</v>
      </c>
      <c r="E132" s="5" t="s">
        <v>551</v>
      </c>
      <c r="F132" s="5" t="s">
        <v>76</v>
      </c>
      <c r="G132" s="5"/>
      <c r="H132" s="5" t="s">
        <v>77</v>
      </c>
      <c r="I132" s="5" t="s">
        <v>109</v>
      </c>
      <c r="J132" s="7" t="n">
        <v>6882</v>
      </c>
      <c r="K132" s="8" t="n">
        <v>12100</v>
      </c>
      <c r="L132" s="8" t="n">
        <v>34</v>
      </c>
      <c r="M132" s="8" t="n">
        <v>27987.62</v>
      </c>
      <c r="N132" s="8" t="n">
        <v>1134976</v>
      </c>
      <c r="O132" s="5" t="n">
        <v>13.4</v>
      </c>
      <c r="P132" s="9" t="n">
        <v>6.06</v>
      </c>
      <c r="Q132" s="5" t="n">
        <v>0.22</v>
      </c>
      <c r="R132" s="5" t="s">
        <v>95</v>
      </c>
      <c r="S132" s="5" t="s">
        <v>96</v>
      </c>
      <c r="T132" s="5" t="n">
        <v>33</v>
      </c>
      <c r="U132" s="5" t="s">
        <v>80</v>
      </c>
      <c r="V132" s="5" t="s">
        <v>552</v>
      </c>
    </row>
    <row r="133" customFormat="false" ht="15" hidden="false" customHeight="false" outlineLevel="0" collapsed="false">
      <c r="A133" s="5" t="n">
        <v>132</v>
      </c>
      <c r="B133" s="5" t="s">
        <v>553</v>
      </c>
      <c r="C133" s="6" t="s">
        <v>49</v>
      </c>
      <c r="D133" s="5" t="s">
        <v>554</v>
      </c>
      <c r="E133" s="5" t="s">
        <v>555</v>
      </c>
      <c r="F133" s="5" t="s">
        <v>76</v>
      </c>
      <c r="G133" s="5" t="s">
        <v>101</v>
      </c>
      <c r="H133" s="5" t="s">
        <v>284</v>
      </c>
      <c r="I133" s="5" t="s">
        <v>94</v>
      </c>
      <c r="J133" s="7" t="n">
        <v>6865</v>
      </c>
      <c r="K133" s="8" t="n">
        <v>15600</v>
      </c>
      <c r="L133" s="8" t="n">
        <v>57</v>
      </c>
      <c r="M133" s="8" t="n">
        <v>60843.86</v>
      </c>
      <c r="N133" s="8" t="n">
        <v>2143686</v>
      </c>
      <c r="O133" s="5" t="n">
        <v>27.9</v>
      </c>
      <c r="P133" s="9" t="n">
        <v>3.2</v>
      </c>
      <c r="Q133" s="5" t="n">
        <v>2.2</v>
      </c>
      <c r="R133" s="5" t="s">
        <v>53</v>
      </c>
      <c r="S133" s="5" t="s">
        <v>103</v>
      </c>
      <c r="T133" s="5" t="n">
        <v>65</v>
      </c>
      <c r="U133" s="5" t="s">
        <v>80</v>
      </c>
      <c r="V133" s="5" t="s">
        <v>556</v>
      </c>
    </row>
    <row r="134" customFormat="false" ht="15" hidden="false" customHeight="false" outlineLevel="0" collapsed="false">
      <c r="A134" s="5" t="n">
        <v>133</v>
      </c>
      <c r="B134" s="5" t="s">
        <v>557</v>
      </c>
      <c r="C134" s="6" t="s">
        <v>49</v>
      </c>
      <c r="D134" s="5" t="s">
        <v>217</v>
      </c>
      <c r="E134" s="5" t="s">
        <v>218</v>
      </c>
      <c r="F134" s="5" t="s">
        <v>76</v>
      </c>
      <c r="G134" s="5" t="s">
        <v>101</v>
      </c>
      <c r="H134" s="5" t="s">
        <v>220</v>
      </c>
      <c r="I134" s="5" t="s">
        <v>109</v>
      </c>
      <c r="J134" s="7" t="n">
        <v>6821</v>
      </c>
      <c r="K134" s="8" t="n">
        <v>22600</v>
      </c>
      <c r="L134" s="8" t="n">
        <v>36</v>
      </c>
      <c r="M134" s="8" t="n">
        <v>81883.42</v>
      </c>
      <c r="N134" s="8" t="n">
        <v>2078340</v>
      </c>
      <c r="O134" s="5" t="n">
        <v>26</v>
      </c>
      <c r="P134" s="9" t="n">
        <v>3.28</v>
      </c>
      <c r="Q134" s="5" t="n">
        <v>2.35</v>
      </c>
      <c r="R134" s="5" t="s">
        <v>95</v>
      </c>
      <c r="S134" s="5" t="s">
        <v>103</v>
      </c>
      <c r="T134" s="5" t="n">
        <v>65</v>
      </c>
      <c r="U134" s="5" t="s">
        <v>80</v>
      </c>
      <c r="V134" s="5" t="s">
        <v>558</v>
      </c>
    </row>
    <row r="135" customFormat="false" ht="15" hidden="false" customHeight="false" outlineLevel="0" collapsed="false">
      <c r="A135" s="5" t="n">
        <v>134</v>
      </c>
      <c r="B135" s="5" t="s">
        <v>559</v>
      </c>
      <c r="C135" s="6" t="s">
        <v>49</v>
      </c>
      <c r="D135" s="5" t="s">
        <v>319</v>
      </c>
      <c r="E135" s="5" t="s">
        <v>320</v>
      </c>
      <c r="F135" s="5" t="s">
        <v>76</v>
      </c>
      <c r="G135" s="5"/>
      <c r="H135" s="5" t="s">
        <v>131</v>
      </c>
      <c r="I135" s="5" t="s">
        <v>94</v>
      </c>
      <c r="J135" s="7" t="n">
        <v>6802</v>
      </c>
      <c r="K135" s="8" t="n">
        <v>6380</v>
      </c>
      <c r="L135" s="8" t="n">
        <v>13</v>
      </c>
      <c r="M135" s="8" t="n">
        <v>312147.46</v>
      </c>
      <c r="N135" s="8" t="n">
        <v>3573757</v>
      </c>
      <c r="O135" s="5" t="n">
        <v>40.1</v>
      </c>
      <c r="P135" s="9" t="n">
        <v>1.9</v>
      </c>
      <c r="Q135" s="5" t="n">
        <v>37.65</v>
      </c>
      <c r="R135" s="5" t="s">
        <v>53</v>
      </c>
      <c r="S135" s="5" t="s">
        <v>110</v>
      </c>
      <c r="T135" s="5" t="n">
        <v>34</v>
      </c>
      <c r="U135" s="5" t="s">
        <v>80</v>
      </c>
      <c r="V135" s="5" t="s">
        <v>560</v>
      </c>
    </row>
    <row r="136" customFormat="false" ht="15" hidden="false" customHeight="false" outlineLevel="0" collapsed="false">
      <c r="A136" s="5" t="n">
        <v>135</v>
      </c>
      <c r="B136" s="5" t="s">
        <v>561</v>
      </c>
      <c r="C136" s="6" t="s">
        <v>49</v>
      </c>
      <c r="D136" s="5" t="s">
        <v>170</v>
      </c>
      <c r="E136" s="5" t="s">
        <v>171</v>
      </c>
      <c r="F136" s="5" t="s">
        <v>212</v>
      </c>
      <c r="G136" s="5" t="s">
        <v>157</v>
      </c>
      <c r="H136" s="5" t="s">
        <v>115</v>
      </c>
      <c r="I136" s="5" t="s">
        <v>94</v>
      </c>
      <c r="J136" s="7" t="n">
        <v>6790</v>
      </c>
      <c r="K136" s="8" t="n">
        <v>6480</v>
      </c>
      <c r="L136" s="8" t="n">
        <v>10</v>
      </c>
      <c r="M136" s="8" t="n">
        <v>266483.8</v>
      </c>
      <c r="N136" s="8" t="n">
        <v>3511478</v>
      </c>
      <c r="O136" s="5" t="n">
        <v>43.2</v>
      </c>
      <c r="P136" s="9" t="n">
        <v>1.93</v>
      </c>
      <c r="Q136" s="5" t="n">
        <v>67.5</v>
      </c>
      <c r="R136" s="5" t="s">
        <v>53</v>
      </c>
      <c r="S136" s="5" t="s">
        <v>96</v>
      </c>
      <c r="T136" s="5" t="n">
        <v>33</v>
      </c>
      <c r="U136" s="5" t="s">
        <v>80</v>
      </c>
      <c r="V136" s="5" t="s">
        <v>562</v>
      </c>
    </row>
    <row r="137" customFormat="false" ht="15" hidden="false" customHeight="false" outlineLevel="0" collapsed="false">
      <c r="A137" s="5" t="n">
        <v>136</v>
      </c>
      <c r="B137" s="5" t="s">
        <v>563</v>
      </c>
      <c r="C137" s="6" t="s">
        <v>49</v>
      </c>
      <c r="D137" s="5" t="s">
        <v>274</v>
      </c>
      <c r="E137" s="5" t="s">
        <v>275</v>
      </c>
      <c r="F137" s="5" t="s">
        <v>76</v>
      </c>
      <c r="G137" s="5"/>
      <c r="H137" s="5" t="s">
        <v>276</v>
      </c>
      <c r="I137" s="5" t="s">
        <v>94</v>
      </c>
      <c r="J137" s="7" t="n">
        <v>6752</v>
      </c>
      <c r="K137" s="8" t="n">
        <v>2990</v>
      </c>
      <c r="L137" s="8" t="n">
        <v>14</v>
      </c>
      <c r="M137" s="8" t="n">
        <v>83350</v>
      </c>
      <c r="N137" s="8" t="n">
        <v>1040373</v>
      </c>
      <c r="O137" s="5" t="n">
        <v>26.1</v>
      </c>
      <c r="P137" s="9" t="n">
        <v>6.49</v>
      </c>
      <c r="Q137" s="5" t="n">
        <v>3.53</v>
      </c>
      <c r="R137" s="5" t="s">
        <v>53</v>
      </c>
      <c r="S137" s="5" t="s">
        <v>96</v>
      </c>
      <c r="T137" s="5" t="n">
        <v>33</v>
      </c>
      <c r="U137" s="5" t="s">
        <v>80</v>
      </c>
      <c r="V137" s="5" t="s">
        <v>564</v>
      </c>
    </row>
    <row r="138" customFormat="false" ht="15" hidden="false" customHeight="false" outlineLevel="0" collapsed="false">
      <c r="A138" s="5" t="n">
        <v>137</v>
      </c>
      <c r="B138" s="5" t="s">
        <v>565</v>
      </c>
      <c r="C138" s="6" t="s">
        <v>49</v>
      </c>
      <c r="D138" s="5" t="s">
        <v>566</v>
      </c>
      <c r="E138" s="5" t="s">
        <v>567</v>
      </c>
      <c r="F138" s="5" t="s">
        <v>76</v>
      </c>
      <c r="G138" s="5" t="s">
        <v>101</v>
      </c>
      <c r="H138" s="5" t="s">
        <v>568</v>
      </c>
      <c r="I138" s="5" t="s">
        <v>290</v>
      </c>
      <c r="J138" s="7" t="n">
        <v>6728</v>
      </c>
      <c r="K138" s="8" t="n">
        <v>18100</v>
      </c>
      <c r="L138" s="8" t="n">
        <v>48</v>
      </c>
      <c r="M138" s="8" t="n">
        <v>44272.52</v>
      </c>
      <c r="N138" s="8" t="n">
        <v>1808062</v>
      </c>
      <c r="O138" s="5" t="n">
        <v>27.2</v>
      </c>
      <c r="P138" s="9" t="n">
        <v>3.72</v>
      </c>
      <c r="Q138" s="5" t="n">
        <v>0.97</v>
      </c>
      <c r="R138" s="5" t="s">
        <v>95</v>
      </c>
      <c r="S138" s="5" t="s">
        <v>110</v>
      </c>
      <c r="T138" s="5" t="n">
        <v>34</v>
      </c>
      <c r="U138" s="5" t="s">
        <v>80</v>
      </c>
      <c r="V138" s="5" t="s">
        <v>569</v>
      </c>
    </row>
    <row r="139" customFormat="false" ht="15" hidden="false" customHeight="false" outlineLevel="0" collapsed="false">
      <c r="A139" s="5" t="n">
        <v>138</v>
      </c>
      <c r="B139" s="5" t="s">
        <v>570</v>
      </c>
      <c r="C139" s="6" t="s">
        <v>49</v>
      </c>
      <c r="D139" s="5" t="s">
        <v>571</v>
      </c>
      <c r="E139" s="5" t="s">
        <v>572</v>
      </c>
      <c r="F139" s="5" t="s">
        <v>76</v>
      </c>
      <c r="G139" s="5"/>
      <c r="H139" s="5" t="s">
        <v>299</v>
      </c>
      <c r="I139" s="5" t="s">
        <v>78</v>
      </c>
      <c r="J139" s="7" t="n">
        <v>6726</v>
      </c>
      <c r="K139" s="8" t="n">
        <v>1980</v>
      </c>
      <c r="L139" s="8" t="n">
        <v>34</v>
      </c>
      <c r="M139" s="8" t="n">
        <v>40214.97</v>
      </c>
      <c r="N139" s="8" t="n">
        <v>724477</v>
      </c>
      <c r="O139" s="5" t="n">
        <v>17.6</v>
      </c>
      <c r="P139" s="9" t="n">
        <v>9.28</v>
      </c>
      <c r="Q139" s="5" t="n">
        <v>0.69</v>
      </c>
      <c r="R139" s="5" t="s">
        <v>53</v>
      </c>
      <c r="S139" s="5" t="s">
        <v>79</v>
      </c>
      <c r="T139" s="5" t="n">
        <v>96</v>
      </c>
      <c r="U139" s="5" t="s">
        <v>80</v>
      </c>
      <c r="V139" s="5" t="s">
        <v>573</v>
      </c>
    </row>
    <row r="140" customFormat="false" ht="15" hidden="false" customHeight="false" outlineLevel="0" collapsed="false">
      <c r="A140" s="5" t="n">
        <v>139</v>
      </c>
      <c r="B140" s="5" t="s">
        <v>574</v>
      </c>
      <c r="C140" s="6" t="s">
        <v>49</v>
      </c>
      <c r="D140" s="5" t="s">
        <v>575</v>
      </c>
      <c r="E140" s="5" t="s">
        <v>576</v>
      </c>
      <c r="F140" s="5" t="s">
        <v>212</v>
      </c>
      <c r="G140" s="5" t="s">
        <v>219</v>
      </c>
      <c r="H140" s="5" t="s">
        <v>412</v>
      </c>
      <c r="I140" s="5" t="s">
        <v>94</v>
      </c>
      <c r="J140" s="7" t="n">
        <v>6718</v>
      </c>
      <c r="K140" s="8" t="n">
        <v>14700</v>
      </c>
      <c r="L140" s="8" t="n">
        <v>112</v>
      </c>
      <c r="M140" s="8" t="n">
        <v>79897.54</v>
      </c>
      <c r="N140" s="8" t="n">
        <v>4916360</v>
      </c>
      <c r="O140" s="5" t="n">
        <v>49.2</v>
      </c>
      <c r="P140" s="9" t="n">
        <v>1.37</v>
      </c>
      <c r="Q140" s="5" t="n">
        <v>3.6</v>
      </c>
      <c r="R140" s="5" t="s">
        <v>53</v>
      </c>
      <c r="S140" s="5" t="s">
        <v>165</v>
      </c>
      <c r="T140" s="5" t="n">
        <v>95</v>
      </c>
      <c r="U140" s="5" t="s">
        <v>80</v>
      </c>
      <c r="V140" s="5" t="s">
        <v>577</v>
      </c>
    </row>
    <row r="141" customFormat="false" ht="15" hidden="false" customHeight="false" outlineLevel="0" collapsed="false">
      <c r="A141" s="5" t="n">
        <v>140</v>
      </c>
      <c r="B141" s="5" t="s">
        <v>578</v>
      </c>
      <c r="C141" s="6" t="s">
        <v>49</v>
      </c>
      <c r="D141" s="5" t="s">
        <v>579</v>
      </c>
      <c r="E141" s="5" t="s">
        <v>580</v>
      </c>
      <c r="F141" s="5" t="s">
        <v>212</v>
      </c>
      <c r="G141" s="5" t="s">
        <v>101</v>
      </c>
      <c r="H141" s="5" t="s">
        <v>581</v>
      </c>
      <c r="I141" s="5" t="s">
        <v>94</v>
      </c>
      <c r="J141" s="7" t="n">
        <v>6698</v>
      </c>
      <c r="K141" s="8" t="n">
        <v>29100</v>
      </c>
      <c r="L141" s="8" t="n">
        <v>16</v>
      </c>
      <c r="M141" s="8" t="n">
        <v>244081.25</v>
      </c>
      <c r="N141" s="8" t="n">
        <v>2852040</v>
      </c>
      <c r="O141" s="5" t="n">
        <v>16.1</v>
      </c>
      <c r="P141" s="9" t="n">
        <v>2.35</v>
      </c>
      <c r="Q141" s="5" t="n">
        <v>2.07</v>
      </c>
      <c r="R141" s="5" t="s">
        <v>53</v>
      </c>
      <c r="S141" s="5" t="s">
        <v>375</v>
      </c>
      <c r="T141" s="5" t="n">
        <v>125</v>
      </c>
      <c r="U141" s="5" t="s">
        <v>80</v>
      </c>
      <c r="V141" s="5" t="s">
        <v>582</v>
      </c>
    </row>
    <row r="142" customFormat="false" ht="15" hidden="false" customHeight="false" outlineLevel="0" collapsed="false">
      <c r="A142" s="5" t="n">
        <v>141</v>
      </c>
      <c r="B142" s="5" t="s">
        <v>583</v>
      </c>
      <c r="C142" s="6" t="s">
        <v>49</v>
      </c>
      <c r="D142" s="5" t="s">
        <v>319</v>
      </c>
      <c r="E142" s="5" t="s">
        <v>320</v>
      </c>
      <c r="F142" s="5" t="s">
        <v>76</v>
      </c>
      <c r="G142" s="5" t="s">
        <v>101</v>
      </c>
      <c r="H142" s="5" t="s">
        <v>131</v>
      </c>
      <c r="I142" s="5" t="s">
        <v>94</v>
      </c>
      <c r="J142" s="7" t="n">
        <v>6692</v>
      </c>
      <c r="K142" s="8" t="n">
        <v>4790</v>
      </c>
      <c r="L142" s="8" t="n">
        <v>12</v>
      </c>
      <c r="M142" s="8" t="n">
        <v>125258.33</v>
      </c>
      <c r="N142" s="8" t="n">
        <v>1480405</v>
      </c>
      <c r="O142" s="5" t="n">
        <v>36.2</v>
      </c>
      <c r="P142" s="9" t="n">
        <v>4.52</v>
      </c>
      <c r="Q142" s="5" t="n">
        <v>26.91</v>
      </c>
      <c r="R142" s="5" t="s">
        <v>53</v>
      </c>
      <c r="S142" s="5" t="s">
        <v>96</v>
      </c>
      <c r="T142" s="5" t="n">
        <v>33</v>
      </c>
      <c r="U142" s="5" t="s">
        <v>80</v>
      </c>
      <c r="V142" s="5" t="s">
        <v>584</v>
      </c>
    </row>
    <row r="143" customFormat="false" ht="15" hidden="false" customHeight="false" outlineLevel="0" collapsed="false">
      <c r="A143" s="5" t="n">
        <v>142</v>
      </c>
      <c r="B143" s="5" t="s">
        <v>585</v>
      </c>
      <c r="C143" s="6" t="s">
        <v>49</v>
      </c>
      <c r="D143" s="5" t="s">
        <v>418</v>
      </c>
      <c r="E143" s="5" t="s">
        <v>419</v>
      </c>
      <c r="F143" s="5" t="s">
        <v>76</v>
      </c>
      <c r="G143" s="5" t="s">
        <v>450</v>
      </c>
      <c r="H143" s="5" t="s">
        <v>366</v>
      </c>
      <c r="I143" s="5" t="s">
        <v>109</v>
      </c>
      <c r="J143" s="7" t="n">
        <v>6688</v>
      </c>
      <c r="K143" s="8" t="n">
        <v>18100</v>
      </c>
      <c r="L143" s="8" t="n">
        <v>13</v>
      </c>
      <c r="M143" s="8" t="n">
        <v>209861.54</v>
      </c>
      <c r="N143" s="8" t="n">
        <v>1337040</v>
      </c>
      <c r="O143" s="5" t="n">
        <v>59.4</v>
      </c>
      <c r="P143" s="9" t="n">
        <v>5</v>
      </c>
      <c r="Q143" s="5" t="n">
        <v>2.2</v>
      </c>
      <c r="R143" s="5" t="s">
        <v>53</v>
      </c>
      <c r="S143" s="5" t="s">
        <v>79</v>
      </c>
      <c r="T143" s="5" t="n">
        <v>96</v>
      </c>
      <c r="U143" s="5" t="s">
        <v>80</v>
      </c>
      <c r="V143" s="5" t="s">
        <v>586</v>
      </c>
    </row>
    <row r="144" customFormat="false" ht="15" hidden="false" customHeight="false" outlineLevel="0" collapsed="false">
      <c r="A144" s="5" t="n">
        <v>143</v>
      </c>
      <c r="B144" s="5" t="s">
        <v>587</v>
      </c>
      <c r="C144" s="6" t="s">
        <v>49</v>
      </c>
      <c r="D144" s="5" t="s">
        <v>139</v>
      </c>
      <c r="E144" s="5" t="s">
        <v>140</v>
      </c>
      <c r="F144" s="5" t="s">
        <v>76</v>
      </c>
      <c r="G144" s="5" t="s">
        <v>101</v>
      </c>
      <c r="H144" s="5" t="s">
        <v>93</v>
      </c>
      <c r="I144" s="5" t="s">
        <v>256</v>
      </c>
      <c r="J144" s="7" t="n">
        <v>6626</v>
      </c>
      <c r="K144" s="8" t="n">
        <v>4030</v>
      </c>
      <c r="L144" s="8" t="n">
        <v>67</v>
      </c>
      <c r="M144" s="8" t="n">
        <v>27017.9</v>
      </c>
      <c r="N144" s="8" t="n">
        <v>1350946</v>
      </c>
      <c r="O144" s="5" t="n">
        <v>22.7</v>
      </c>
      <c r="P144" s="9" t="n">
        <v>4.9</v>
      </c>
      <c r="Q144" s="5" t="n">
        <v>1.82</v>
      </c>
      <c r="R144" s="5" t="s">
        <v>95</v>
      </c>
      <c r="S144" s="5" t="s">
        <v>103</v>
      </c>
      <c r="T144" s="5" t="n">
        <v>65</v>
      </c>
      <c r="U144" s="5" t="s">
        <v>80</v>
      </c>
      <c r="V144" s="5" t="s">
        <v>588</v>
      </c>
    </row>
    <row r="145" customFormat="false" ht="15" hidden="false" customHeight="false" outlineLevel="0" collapsed="false">
      <c r="A145" s="5" t="n">
        <v>144</v>
      </c>
      <c r="B145" s="5" t="s">
        <v>589</v>
      </c>
      <c r="C145" s="6" t="s">
        <v>49</v>
      </c>
      <c r="D145" s="5" t="s">
        <v>187</v>
      </c>
      <c r="E145" s="5" t="s">
        <v>188</v>
      </c>
      <c r="F145" s="5" t="s">
        <v>76</v>
      </c>
      <c r="G145" s="5" t="s">
        <v>101</v>
      </c>
      <c r="H145" s="5" t="s">
        <v>265</v>
      </c>
      <c r="I145" s="5" t="s">
        <v>122</v>
      </c>
      <c r="J145" s="7" t="n">
        <v>6601</v>
      </c>
      <c r="K145" s="8" t="n">
        <v>2940</v>
      </c>
      <c r="L145" s="8" t="n">
        <v>114</v>
      </c>
      <c r="M145" s="8" t="n">
        <v>18253.29</v>
      </c>
      <c r="N145" s="8" t="n">
        <v>748385</v>
      </c>
      <c r="O145" s="5" t="n">
        <v>41.2</v>
      </c>
      <c r="P145" s="9" t="n">
        <v>8.82</v>
      </c>
      <c r="Q145" s="5" t="n">
        <v>2.15</v>
      </c>
      <c r="R145" s="5" t="s">
        <v>53</v>
      </c>
      <c r="S145" s="5" t="s">
        <v>96</v>
      </c>
      <c r="T145" s="5" t="n">
        <v>33</v>
      </c>
      <c r="U145" s="5" t="s">
        <v>80</v>
      </c>
      <c r="V145" s="5" t="s">
        <v>590</v>
      </c>
    </row>
    <row r="146" customFormat="false" ht="15" hidden="false" customHeight="false" outlineLevel="0" collapsed="false">
      <c r="A146" s="5" t="n">
        <v>145</v>
      </c>
      <c r="B146" s="5" t="s">
        <v>591</v>
      </c>
      <c r="C146" s="6" t="s">
        <v>49</v>
      </c>
      <c r="D146" s="5" t="s">
        <v>99</v>
      </c>
      <c r="E146" s="5" t="s">
        <v>100</v>
      </c>
      <c r="F146" s="5" t="s">
        <v>76</v>
      </c>
      <c r="G146" s="5"/>
      <c r="H146" s="5" t="s">
        <v>279</v>
      </c>
      <c r="I146" s="5" t="s">
        <v>296</v>
      </c>
      <c r="J146" s="7" t="n">
        <v>6519</v>
      </c>
      <c r="K146" s="8" t="n">
        <v>4230</v>
      </c>
      <c r="L146" s="8" t="n">
        <v>31</v>
      </c>
      <c r="M146" s="8" t="n">
        <v>30465.84</v>
      </c>
      <c r="N146" s="8" t="n">
        <v>895108</v>
      </c>
      <c r="O146" s="5" t="n">
        <v>27.3</v>
      </c>
      <c r="P146" s="9" t="n">
        <v>7.28</v>
      </c>
      <c r="Q146" s="5" t="n">
        <v>0.23</v>
      </c>
      <c r="R146" s="5" t="s">
        <v>53</v>
      </c>
      <c r="S146" s="5" t="s">
        <v>96</v>
      </c>
      <c r="T146" s="5" t="n">
        <v>33</v>
      </c>
      <c r="U146" s="5" t="s">
        <v>80</v>
      </c>
      <c r="V146" s="5" t="s">
        <v>592</v>
      </c>
    </row>
    <row r="147" customFormat="false" ht="15" hidden="false" customHeight="false" outlineLevel="0" collapsed="false">
      <c r="A147" s="5" t="n">
        <v>146</v>
      </c>
      <c r="B147" s="5" t="s">
        <v>593</v>
      </c>
      <c r="C147" s="6" t="s">
        <v>49</v>
      </c>
      <c r="D147" s="5" t="s">
        <v>394</v>
      </c>
      <c r="E147" s="5" t="s">
        <v>395</v>
      </c>
      <c r="F147" s="5" t="s">
        <v>76</v>
      </c>
      <c r="G147" s="5" t="s">
        <v>309</v>
      </c>
      <c r="H147" s="5" t="s">
        <v>193</v>
      </c>
      <c r="I147" s="5" t="s">
        <v>94</v>
      </c>
      <c r="J147" s="7" t="n">
        <v>6448</v>
      </c>
      <c r="K147" s="8" t="n">
        <v>9890</v>
      </c>
      <c r="L147" s="8" t="n">
        <v>54</v>
      </c>
      <c r="M147" s="8" t="n">
        <v>74611.09</v>
      </c>
      <c r="N147" s="8" t="n">
        <v>3657644</v>
      </c>
      <c r="O147" s="5" t="n">
        <v>12.2</v>
      </c>
      <c r="P147" s="9" t="n">
        <v>1.76</v>
      </c>
      <c r="Q147" s="5" t="n">
        <v>0.28</v>
      </c>
      <c r="R147" s="5" t="s">
        <v>53</v>
      </c>
      <c r="S147" s="5" t="s">
        <v>165</v>
      </c>
      <c r="T147" s="5" t="n">
        <v>95</v>
      </c>
      <c r="U147" s="5" t="s">
        <v>80</v>
      </c>
      <c r="V147" s="5" t="s">
        <v>594</v>
      </c>
    </row>
    <row r="148" customFormat="false" ht="15" hidden="false" customHeight="false" outlineLevel="0" collapsed="false">
      <c r="A148" s="5" t="n">
        <v>147</v>
      </c>
      <c r="B148" s="5" t="s">
        <v>595</v>
      </c>
      <c r="C148" s="6" t="s">
        <v>49</v>
      </c>
      <c r="D148" s="5" t="s">
        <v>571</v>
      </c>
      <c r="E148" s="5" t="s">
        <v>572</v>
      </c>
      <c r="F148" s="5" t="s">
        <v>76</v>
      </c>
      <c r="G148" s="5" t="s">
        <v>596</v>
      </c>
      <c r="H148" s="5" t="s">
        <v>435</v>
      </c>
      <c r="I148" s="5" t="s">
        <v>180</v>
      </c>
      <c r="J148" s="7" t="n">
        <v>6374</v>
      </c>
      <c r="K148" s="8" t="n">
        <v>3850</v>
      </c>
      <c r="L148" s="8" t="n">
        <v>8</v>
      </c>
      <c r="M148" s="8" t="n">
        <v>744575</v>
      </c>
      <c r="N148" s="8" t="n">
        <v>2786613</v>
      </c>
      <c r="O148" s="5" t="n">
        <v>10.2</v>
      </c>
      <c r="P148" s="9" t="n">
        <v>2.29</v>
      </c>
      <c r="Q148" s="5" t="n">
        <v>106.47</v>
      </c>
      <c r="R148" s="5" t="s">
        <v>53</v>
      </c>
      <c r="S148" s="5" t="s">
        <v>184</v>
      </c>
      <c r="T148" s="5" t="n">
        <v>64</v>
      </c>
      <c r="U148" s="5" t="s">
        <v>80</v>
      </c>
      <c r="V148" s="5" t="s">
        <v>597</v>
      </c>
    </row>
    <row r="149" customFormat="false" ht="15" hidden="false" customHeight="false" outlineLevel="0" collapsed="false">
      <c r="A149" s="5" t="n">
        <v>148</v>
      </c>
      <c r="B149" s="5" t="s">
        <v>598</v>
      </c>
      <c r="C149" s="6" t="s">
        <v>49</v>
      </c>
      <c r="D149" s="5" t="s">
        <v>342</v>
      </c>
      <c r="E149" s="5" t="s">
        <v>343</v>
      </c>
      <c r="F149" s="5" t="s">
        <v>76</v>
      </c>
      <c r="G149" s="5" t="s">
        <v>101</v>
      </c>
      <c r="H149" s="5" t="s">
        <v>599</v>
      </c>
      <c r="I149" s="5" t="s">
        <v>300</v>
      </c>
      <c r="J149" s="7" t="n">
        <v>6362</v>
      </c>
      <c r="K149" s="8" t="n">
        <v>8160</v>
      </c>
      <c r="L149" s="8" t="n">
        <v>111</v>
      </c>
      <c r="M149" s="8" t="n">
        <v>13802.7</v>
      </c>
      <c r="N149" s="8" t="n">
        <v>393145</v>
      </c>
      <c r="O149" s="5" t="n">
        <v>83.8</v>
      </c>
      <c r="P149" s="9" t="n">
        <v>16.18</v>
      </c>
      <c r="Q149" s="5" t="n">
        <v>2.74</v>
      </c>
      <c r="R149" s="5" t="s">
        <v>53</v>
      </c>
      <c r="S149" s="5" t="s">
        <v>165</v>
      </c>
      <c r="T149" s="5" t="n">
        <v>95</v>
      </c>
      <c r="U149" s="5" t="s">
        <v>80</v>
      </c>
      <c r="V149" s="5" t="s">
        <v>600</v>
      </c>
    </row>
    <row r="150" customFormat="false" ht="15" hidden="false" customHeight="false" outlineLevel="0" collapsed="false">
      <c r="A150" s="5" t="n">
        <v>149</v>
      </c>
      <c r="B150" s="5" t="s">
        <v>601</v>
      </c>
      <c r="C150" s="6" t="s">
        <v>49</v>
      </c>
      <c r="D150" s="5" t="s">
        <v>162</v>
      </c>
      <c r="E150" s="5" t="s">
        <v>163</v>
      </c>
      <c r="F150" s="5" t="s">
        <v>76</v>
      </c>
      <c r="G150" s="5" t="s">
        <v>101</v>
      </c>
      <c r="H150" s="5" t="s">
        <v>360</v>
      </c>
      <c r="I150" s="5" t="s">
        <v>300</v>
      </c>
      <c r="J150" s="7" t="n">
        <v>6349</v>
      </c>
      <c r="K150" s="8" t="n">
        <v>11400</v>
      </c>
      <c r="L150" s="8" t="n">
        <v>161</v>
      </c>
      <c r="M150" s="8" t="n">
        <v>20192.58</v>
      </c>
      <c r="N150" s="8" t="n">
        <v>661715</v>
      </c>
      <c r="O150" s="5" t="n">
        <v>42.2</v>
      </c>
      <c r="P150" s="9" t="n">
        <v>9.6</v>
      </c>
      <c r="Q150" s="5" t="n">
        <v>0.05</v>
      </c>
      <c r="R150" s="5" t="s">
        <v>95</v>
      </c>
      <c r="S150" s="5" t="s">
        <v>375</v>
      </c>
      <c r="T150" s="5" t="n">
        <v>125</v>
      </c>
      <c r="U150" s="5" t="s">
        <v>80</v>
      </c>
      <c r="V150" s="5" t="s">
        <v>602</v>
      </c>
    </row>
    <row r="151" customFormat="false" ht="15" hidden="false" customHeight="false" outlineLevel="0" collapsed="false">
      <c r="A151" s="5" t="n">
        <v>150</v>
      </c>
      <c r="B151" s="5" t="s">
        <v>603</v>
      </c>
      <c r="C151" s="6" t="s">
        <v>49</v>
      </c>
      <c r="D151" s="5" t="s">
        <v>282</v>
      </c>
      <c r="E151" s="5" t="s">
        <v>283</v>
      </c>
      <c r="F151" s="5" t="s">
        <v>76</v>
      </c>
      <c r="G151" s="5"/>
      <c r="H151" s="5" t="s">
        <v>284</v>
      </c>
      <c r="I151" s="5" t="s">
        <v>159</v>
      </c>
      <c r="J151" s="7" t="n">
        <v>6334</v>
      </c>
      <c r="K151" s="8" t="n">
        <v>2180</v>
      </c>
      <c r="L151" s="8" t="n">
        <v>51</v>
      </c>
      <c r="M151" s="8" t="n">
        <v>52676</v>
      </c>
      <c r="N151" s="8" t="n">
        <v>4204109</v>
      </c>
      <c r="O151" s="5" t="n">
        <v>8.3</v>
      </c>
      <c r="P151" s="9" t="n">
        <v>1.51</v>
      </c>
      <c r="Q151" s="5" t="n">
        <v>3.53</v>
      </c>
      <c r="R151" s="5" t="s">
        <v>53</v>
      </c>
      <c r="S151" s="5" t="s">
        <v>242</v>
      </c>
      <c r="T151" s="5" t="n">
        <v>24</v>
      </c>
      <c r="U151" s="5" t="s">
        <v>80</v>
      </c>
      <c r="V151" s="5" t="s">
        <v>604</v>
      </c>
    </row>
    <row r="152" customFormat="false" ht="15" hidden="false" customHeight="false" outlineLevel="0" collapsed="false">
      <c r="A152" s="5" t="n">
        <v>151</v>
      </c>
      <c r="B152" s="5" t="s">
        <v>605</v>
      </c>
      <c r="C152" s="6" t="s">
        <v>49</v>
      </c>
      <c r="D152" s="5" t="s">
        <v>187</v>
      </c>
      <c r="E152" s="5" t="s">
        <v>188</v>
      </c>
      <c r="F152" s="5" t="s">
        <v>76</v>
      </c>
      <c r="G152" s="5" t="s">
        <v>101</v>
      </c>
      <c r="H152" s="5" t="s">
        <v>183</v>
      </c>
      <c r="I152" s="5" t="s">
        <v>122</v>
      </c>
      <c r="J152" s="7" t="n">
        <v>6331</v>
      </c>
      <c r="K152" s="8" t="n">
        <v>4570</v>
      </c>
      <c r="L152" s="8" t="n">
        <v>78</v>
      </c>
      <c r="M152" s="8" t="n">
        <v>29477.89</v>
      </c>
      <c r="N152" s="8" t="n">
        <v>1031726</v>
      </c>
      <c r="O152" s="5" t="n">
        <v>47.8</v>
      </c>
      <c r="P152" s="9" t="n">
        <v>6.14</v>
      </c>
      <c r="Q152" s="5" t="n">
        <v>2.24</v>
      </c>
      <c r="R152" s="5" t="s">
        <v>53</v>
      </c>
      <c r="S152" s="5" t="s">
        <v>96</v>
      </c>
      <c r="T152" s="5" t="n">
        <v>33</v>
      </c>
      <c r="U152" s="5" t="s">
        <v>80</v>
      </c>
      <c r="V152" s="5" t="s">
        <v>606</v>
      </c>
    </row>
    <row r="153" customFormat="false" ht="15" hidden="false" customHeight="false" outlineLevel="0" collapsed="false">
      <c r="A153" s="5" t="n">
        <v>152</v>
      </c>
      <c r="B153" s="5" t="s">
        <v>607</v>
      </c>
      <c r="C153" s="6" t="s">
        <v>49</v>
      </c>
      <c r="D153" s="5" t="s">
        <v>608</v>
      </c>
      <c r="E153" s="5" t="s">
        <v>609</v>
      </c>
      <c r="F153" s="5" t="s">
        <v>76</v>
      </c>
      <c r="G153" s="5" t="s">
        <v>101</v>
      </c>
      <c r="H153" s="5" t="s">
        <v>547</v>
      </c>
      <c r="I153" s="5" t="s">
        <v>94</v>
      </c>
      <c r="J153" s="7" t="n">
        <v>6324</v>
      </c>
      <c r="K153" s="8" t="n">
        <v>3710</v>
      </c>
      <c r="L153" s="8" t="n">
        <v>44</v>
      </c>
      <c r="M153" s="8" t="n">
        <v>30880.25</v>
      </c>
      <c r="N153" s="8" t="n">
        <v>1339511</v>
      </c>
      <c r="O153" s="5" t="n">
        <v>24.9</v>
      </c>
      <c r="P153" s="9" t="n">
        <v>4.72</v>
      </c>
      <c r="Q153" s="5" t="n">
        <v>0.74</v>
      </c>
      <c r="R153" s="5" t="s">
        <v>95</v>
      </c>
      <c r="S153" s="5" t="s">
        <v>96</v>
      </c>
      <c r="T153" s="5" t="n">
        <v>33</v>
      </c>
      <c r="U153" s="5" t="s">
        <v>80</v>
      </c>
      <c r="V153" s="5" t="s">
        <v>610</v>
      </c>
    </row>
    <row r="154" customFormat="false" ht="15" hidden="false" customHeight="false" outlineLevel="0" collapsed="false">
      <c r="A154" s="5" t="n">
        <v>153</v>
      </c>
      <c r="B154" s="5" t="s">
        <v>611</v>
      </c>
      <c r="C154" s="6" t="s">
        <v>49</v>
      </c>
      <c r="D154" s="5" t="s">
        <v>227</v>
      </c>
      <c r="E154" s="5" t="s">
        <v>228</v>
      </c>
      <c r="F154" s="5" t="s">
        <v>76</v>
      </c>
      <c r="G154" s="5" t="s">
        <v>101</v>
      </c>
      <c r="H154" s="5" t="s">
        <v>581</v>
      </c>
      <c r="I154" s="5" t="s">
        <v>109</v>
      </c>
      <c r="J154" s="7" t="n">
        <v>6274</v>
      </c>
      <c r="K154" s="8" t="n">
        <v>6390</v>
      </c>
      <c r="L154" s="8" t="n">
        <v>94</v>
      </c>
      <c r="M154" s="8" t="n">
        <v>8206.43</v>
      </c>
      <c r="N154" s="8" t="n">
        <v>609698</v>
      </c>
      <c r="O154" s="5" t="n">
        <v>123.8</v>
      </c>
      <c r="P154" s="9" t="n">
        <v>10.29</v>
      </c>
      <c r="Q154" s="5" t="n">
        <v>0.34</v>
      </c>
      <c r="R154" s="5" t="s">
        <v>53</v>
      </c>
      <c r="S154" s="5" t="s">
        <v>165</v>
      </c>
      <c r="T154" s="5" t="n">
        <v>95</v>
      </c>
      <c r="U154" s="5" t="s">
        <v>80</v>
      </c>
      <c r="V154" s="5" t="s">
        <v>612</v>
      </c>
    </row>
    <row r="155" customFormat="false" ht="15" hidden="false" customHeight="false" outlineLevel="0" collapsed="false">
      <c r="A155" s="5" t="n">
        <v>154</v>
      </c>
      <c r="B155" s="5" t="s">
        <v>613</v>
      </c>
      <c r="C155" s="6" t="s">
        <v>49</v>
      </c>
      <c r="D155" s="5" t="s">
        <v>545</v>
      </c>
      <c r="E155" s="5" t="s">
        <v>546</v>
      </c>
      <c r="F155" s="5" t="s">
        <v>76</v>
      </c>
      <c r="G155" s="5" t="s">
        <v>101</v>
      </c>
      <c r="H155" s="5" t="s">
        <v>614</v>
      </c>
      <c r="I155" s="5" t="s">
        <v>94</v>
      </c>
      <c r="J155" s="7" t="n">
        <v>6171</v>
      </c>
      <c r="K155" s="8" t="n">
        <v>4300</v>
      </c>
      <c r="L155" s="8" t="n">
        <v>41</v>
      </c>
      <c r="M155" s="8" t="n">
        <v>47796.34</v>
      </c>
      <c r="N155" s="8" t="n">
        <v>1714700</v>
      </c>
      <c r="O155" s="5" t="n">
        <v>27.1</v>
      </c>
      <c r="P155" s="9" t="n">
        <v>3.6</v>
      </c>
      <c r="Q155" s="5" t="n">
        <v>5.29</v>
      </c>
      <c r="R155" s="5" t="s">
        <v>95</v>
      </c>
      <c r="S155" s="5" t="s">
        <v>96</v>
      </c>
      <c r="T155" s="5" t="n">
        <v>33</v>
      </c>
      <c r="U155" s="5" t="s">
        <v>80</v>
      </c>
      <c r="V155" s="5" t="s">
        <v>615</v>
      </c>
    </row>
    <row r="156" customFormat="false" ht="15" hidden="false" customHeight="false" outlineLevel="0" collapsed="false">
      <c r="A156" s="5" t="n">
        <v>155</v>
      </c>
      <c r="B156" s="5" t="s">
        <v>616</v>
      </c>
      <c r="C156" s="6" t="s">
        <v>49</v>
      </c>
      <c r="D156" s="5" t="s">
        <v>254</v>
      </c>
      <c r="E156" s="5" t="s">
        <v>255</v>
      </c>
      <c r="F156" s="5" t="s">
        <v>212</v>
      </c>
      <c r="G156" s="5" t="s">
        <v>213</v>
      </c>
      <c r="H156" s="5" t="s">
        <v>256</v>
      </c>
      <c r="I156" s="5" t="s">
        <v>78</v>
      </c>
      <c r="J156" s="7" t="n">
        <v>6152</v>
      </c>
      <c r="K156" s="8" t="n">
        <v>11400</v>
      </c>
      <c r="L156" s="8" t="n">
        <v>9</v>
      </c>
      <c r="M156" s="8" t="n">
        <v>547000</v>
      </c>
      <c r="N156" s="8" t="n">
        <v>3181518</v>
      </c>
      <c r="O156" s="5" t="n">
        <v>22.3</v>
      </c>
      <c r="P156" s="9" t="n">
        <v>1.93</v>
      </c>
      <c r="Q156" s="5" t="n">
        <v>50.5</v>
      </c>
      <c r="R156" s="5" t="s">
        <v>53</v>
      </c>
      <c r="S156" s="5" t="s">
        <v>462</v>
      </c>
      <c r="T156" s="5" t="n">
        <v>94</v>
      </c>
      <c r="U156" s="5" t="s">
        <v>80</v>
      </c>
      <c r="V156" s="5" t="s">
        <v>617</v>
      </c>
    </row>
    <row r="157" customFormat="false" ht="15" hidden="false" customHeight="false" outlineLevel="0" collapsed="false">
      <c r="A157" s="5" t="n">
        <v>156</v>
      </c>
      <c r="B157" s="5" t="s">
        <v>618</v>
      </c>
      <c r="C157" s="6" t="s">
        <v>49</v>
      </c>
      <c r="D157" s="5" t="s">
        <v>554</v>
      </c>
      <c r="E157" s="5" t="s">
        <v>555</v>
      </c>
      <c r="F157" s="5" t="s">
        <v>76</v>
      </c>
      <c r="G157" s="5" t="s">
        <v>101</v>
      </c>
      <c r="H157" s="5" t="s">
        <v>93</v>
      </c>
      <c r="I157" s="5" t="s">
        <v>94</v>
      </c>
      <c r="J157" s="7" t="n">
        <v>6139</v>
      </c>
      <c r="K157" s="8" t="n">
        <v>3290</v>
      </c>
      <c r="L157" s="8" t="n">
        <v>70</v>
      </c>
      <c r="M157" s="8" t="n">
        <v>27089.57</v>
      </c>
      <c r="N157" s="8" t="n">
        <v>1829672</v>
      </c>
      <c r="O157" s="5" t="n">
        <v>15.7</v>
      </c>
      <c r="P157" s="9" t="n">
        <v>3.35</v>
      </c>
      <c r="Q157" s="5" t="n">
        <v>1.62</v>
      </c>
      <c r="R157" s="5" t="s">
        <v>53</v>
      </c>
      <c r="S157" s="5" t="s">
        <v>96</v>
      </c>
      <c r="T157" s="5" t="n">
        <v>33</v>
      </c>
      <c r="U157" s="5" t="s">
        <v>80</v>
      </c>
      <c r="V157" s="5" t="s">
        <v>619</v>
      </c>
    </row>
    <row r="158" customFormat="false" ht="15" hidden="false" customHeight="false" outlineLevel="0" collapsed="false">
      <c r="A158" s="5" t="n">
        <v>157</v>
      </c>
      <c r="B158" s="5" t="s">
        <v>620</v>
      </c>
      <c r="C158" s="6" t="s">
        <v>49</v>
      </c>
      <c r="D158" s="5" t="s">
        <v>385</v>
      </c>
      <c r="E158" s="5" t="s">
        <v>386</v>
      </c>
      <c r="F158" s="5" t="s">
        <v>76</v>
      </c>
      <c r="G158" s="5" t="s">
        <v>101</v>
      </c>
      <c r="H158" s="5" t="s">
        <v>621</v>
      </c>
      <c r="I158" s="5" t="s">
        <v>94</v>
      </c>
      <c r="J158" s="7" t="n">
        <v>6136</v>
      </c>
      <c r="K158" s="8" t="n">
        <v>2550</v>
      </c>
      <c r="L158" s="8" t="n">
        <v>12</v>
      </c>
      <c r="M158" s="8" t="n">
        <v>57624.25</v>
      </c>
      <c r="N158" s="8" t="n">
        <v>680620</v>
      </c>
      <c r="O158" s="5" t="n">
        <v>45.3</v>
      </c>
      <c r="P158" s="9" t="n">
        <v>9.02</v>
      </c>
      <c r="Q158" s="5" t="n">
        <v>1.03</v>
      </c>
      <c r="R158" s="5" t="s">
        <v>53</v>
      </c>
      <c r="S158" s="5" t="s">
        <v>242</v>
      </c>
      <c r="T158" s="5" t="n">
        <v>24</v>
      </c>
      <c r="U158" s="5" t="s">
        <v>80</v>
      </c>
      <c r="V158" s="5" t="s">
        <v>622</v>
      </c>
    </row>
    <row r="159" customFormat="false" ht="15" hidden="false" customHeight="false" outlineLevel="0" collapsed="false">
      <c r="A159" s="5" t="n">
        <v>158</v>
      </c>
      <c r="B159" s="5" t="s">
        <v>623</v>
      </c>
      <c r="C159" s="6" t="s">
        <v>49</v>
      </c>
      <c r="D159" s="5" t="s">
        <v>515</v>
      </c>
      <c r="E159" s="5" t="s">
        <v>516</v>
      </c>
      <c r="F159" s="5" t="s">
        <v>76</v>
      </c>
      <c r="G159" s="5" t="s">
        <v>101</v>
      </c>
      <c r="H159" s="5" t="s">
        <v>624</v>
      </c>
      <c r="I159" s="5" t="s">
        <v>94</v>
      </c>
      <c r="J159" s="7" t="n">
        <v>6084</v>
      </c>
      <c r="K159" s="8" t="n">
        <v>19200</v>
      </c>
      <c r="L159" s="8" t="n">
        <v>6</v>
      </c>
      <c r="M159" s="8" t="n">
        <v>559025</v>
      </c>
      <c r="N159" s="8" t="n">
        <v>1881743</v>
      </c>
      <c r="O159" s="5" t="n">
        <v>15.5</v>
      </c>
      <c r="P159" s="9" t="n">
        <v>3.23</v>
      </c>
      <c r="Q159" s="5" t="n">
        <v>26.55</v>
      </c>
      <c r="R159" s="5" t="s">
        <v>53</v>
      </c>
      <c r="S159" s="5" t="s">
        <v>375</v>
      </c>
      <c r="T159" s="5" t="n">
        <v>125</v>
      </c>
      <c r="U159" s="5" t="s">
        <v>80</v>
      </c>
      <c r="V159" s="5" t="s">
        <v>625</v>
      </c>
    </row>
    <row r="160" customFormat="false" ht="15" hidden="false" customHeight="false" outlineLevel="0" collapsed="false">
      <c r="A160" s="5" t="n">
        <v>159</v>
      </c>
      <c r="B160" s="5" t="s">
        <v>626</v>
      </c>
      <c r="C160" s="6" t="s">
        <v>49</v>
      </c>
      <c r="D160" s="5" t="s">
        <v>106</v>
      </c>
      <c r="E160" s="5" t="s">
        <v>107</v>
      </c>
      <c r="F160" s="5" t="s">
        <v>212</v>
      </c>
      <c r="G160" s="5" t="s">
        <v>219</v>
      </c>
      <c r="H160" s="5" t="s">
        <v>108</v>
      </c>
      <c r="I160" s="5" t="s">
        <v>109</v>
      </c>
      <c r="J160" s="7" t="n">
        <v>6082</v>
      </c>
      <c r="K160" s="8" t="n">
        <v>7190</v>
      </c>
      <c r="L160" s="8" t="n">
        <v>17</v>
      </c>
      <c r="M160" s="8" t="n">
        <v>187559.5</v>
      </c>
      <c r="N160" s="8" t="n">
        <v>2543520</v>
      </c>
      <c r="O160" s="5" t="n">
        <v>10</v>
      </c>
      <c r="P160" s="9" t="n">
        <v>2.39</v>
      </c>
      <c r="Q160" s="5" t="n">
        <v>0.43</v>
      </c>
      <c r="R160" s="5" t="s">
        <v>95</v>
      </c>
      <c r="S160" s="5" t="s">
        <v>96</v>
      </c>
      <c r="T160" s="5" t="n">
        <v>33</v>
      </c>
      <c r="U160" s="5" t="s">
        <v>80</v>
      </c>
      <c r="V160" s="5" t="s">
        <v>627</v>
      </c>
    </row>
    <row r="161" customFormat="false" ht="15" hidden="false" customHeight="false" outlineLevel="0" collapsed="false">
      <c r="A161" s="5" t="n">
        <v>160</v>
      </c>
      <c r="B161" s="5" t="s">
        <v>628</v>
      </c>
      <c r="C161" s="6" t="s">
        <v>49</v>
      </c>
      <c r="D161" s="5" t="s">
        <v>554</v>
      </c>
      <c r="E161" s="5" t="s">
        <v>555</v>
      </c>
      <c r="F161" s="5" t="s">
        <v>76</v>
      </c>
      <c r="G161" s="5" t="s">
        <v>101</v>
      </c>
      <c r="H161" s="5" t="s">
        <v>93</v>
      </c>
      <c r="I161" s="5" t="s">
        <v>94</v>
      </c>
      <c r="J161" s="7" t="n">
        <v>5985</v>
      </c>
      <c r="K161" s="8" t="n">
        <v>4470</v>
      </c>
      <c r="L161" s="8" t="n">
        <v>73</v>
      </c>
      <c r="M161" s="8" t="n">
        <v>24481.62</v>
      </c>
      <c r="N161" s="8" t="n">
        <v>1138276</v>
      </c>
      <c r="O161" s="5" t="n">
        <v>18.4</v>
      </c>
      <c r="P161" s="9" t="n">
        <v>5.26</v>
      </c>
      <c r="Q161" s="5" t="n">
        <v>1.09</v>
      </c>
      <c r="R161" s="5" t="s">
        <v>53</v>
      </c>
      <c r="S161" s="5" t="s">
        <v>79</v>
      </c>
      <c r="T161" s="5" t="n">
        <v>96</v>
      </c>
      <c r="U161" s="5" t="s">
        <v>80</v>
      </c>
      <c r="V161" s="5" t="s">
        <v>629</v>
      </c>
    </row>
    <row r="162" customFormat="false" ht="15" hidden="false" customHeight="false" outlineLevel="0" collapsed="false">
      <c r="A162" s="5" t="n">
        <v>161</v>
      </c>
      <c r="B162" s="5" t="s">
        <v>630</v>
      </c>
      <c r="C162" s="6" t="s">
        <v>49</v>
      </c>
      <c r="D162" s="5" t="s">
        <v>187</v>
      </c>
      <c r="E162" s="5" t="s">
        <v>188</v>
      </c>
      <c r="F162" s="5" t="s">
        <v>76</v>
      </c>
      <c r="G162" s="5" t="s">
        <v>101</v>
      </c>
      <c r="H162" s="5" t="s">
        <v>183</v>
      </c>
      <c r="I162" s="5" t="s">
        <v>122</v>
      </c>
      <c r="J162" s="7" t="n">
        <v>5920</v>
      </c>
      <c r="K162" s="8" t="n">
        <v>3220</v>
      </c>
      <c r="L162" s="8" t="n">
        <v>47</v>
      </c>
      <c r="M162" s="8" t="n">
        <v>12947.62</v>
      </c>
      <c r="N162" s="8" t="n">
        <v>418648</v>
      </c>
      <c r="O162" s="5" t="n">
        <v>117.3</v>
      </c>
      <c r="P162" s="9" t="n">
        <v>14.14</v>
      </c>
      <c r="Q162" s="5" t="n">
        <v>1.53</v>
      </c>
      <c r="R162" s="5" t="s">
        <v>95</v>
      </c>
      <c r="S162" s="5" t="s">
        <v>96</v>
      </c>
      <c r="T162" s="5" t="n">
        <v>33</v>
      </c>
      <c r="U162" s="5" t="s">
        <v>80</v>
      </c>
      <c r="V162" s="5" t="s">
        <v>631</v>
      </c>
    </row>
    <row r="163" customFormat="false" ht="15" hidden="false" customHeight="false" outlineLevel="0" collapsed="false">
      <c r="A163" s="5" t="n">
        <v>162</v>
      </c>
      <c r="B163" s="5" t="s">
        <v>632</v>
      </c>
      <c r="C163" s="6" t="s">
        <v>49</v>
      </c>
      <c r="D163" s="5" t="s">
        <v>633</v>
      </c>
      <c r="E163" s="5" t="s">
        <v>634</v>
      </c>
      <c r="F163" s="5" t="s">
        <v>76</v>
      </c>
      <c r="G163" s="5" t="s">
        <v>101</v>
      </c>
      <c r="H163" s="5" t="s">
        <v>581</v>
      </c>
      <c r="I163" s="5" t="s">
        <v>94</v>
      </c>
      <c r="J163" s="7" t="n">
        <v>5855</v>
      </c>
      <c r="K163" s="8" t="n">
        <v>7670</v>
      </c>
      <c r="L163" s="8" t="n">
        <v>78</v>
      </c>
      <c r="M163" s="8" t="n">
        <v>25242.15</v>
      </c>
      <c r="N163" s="8" t="n">
        <v>1454351</v>
      </c>
      <c r="O163" s="5" t="n">
        <v>26.7</v>
      </c>
      <c r="P163" s="9" t="n">
        <v>4.03</v>
      </c>
      <c r="Q163" s="5" t="n">
        <v>0.15</v>
      </c>
      <c r="R163" s="5" t="s">
        <v>53</v>
      </c>
      <c r="S163" s="5" t="s">
        <v>184</v>
      </c>
      <c r="T163" s="5" t="n">
        <v>64</v>
      </c>
      <c r="U163" s="5" t="s">
        <v>80</v>
      </c>
      <c r="V163" s="5" t="s">
        <v>635</v>
      </c>
    </row>
    <row r="164" customFormat="false" ht="15" hidden="false" customHeight="false" outlineLevel="0" collapsed="false">
      <c r="A164" s="5" t="n">
        <v>163</v>
      </c>
      <c r="B164" s="5" t="s">
        <v>636</v>
      </c>
      <c r="C164" s="6" t="s">
        <v>49</v>
      </c>
      <c r="D164" s="5" t="s">
        <v>566</v>
      </c>
      <c r="E164" s="5" t="s">
        <v>567</v>
      </c>
      <c r="F164" s="5" t="s">
        <v>76</v>
      </c>
      <c r="G164" s="5"/>
      <c r="H164" s="5" t="s">
        <v>637</v>
      </c>
      <c r="I164" s="5" t="s">
        <v>94</v>
      </c>
      <c r="J164" s="7" t="n">
        <v>5852</v>
      </c>
      <c r="K164" s="8" t="n">
        <v>3720</v>
      </c>
      <c r="L164" s="8" t="n">
        <v>122</v>
      </c>
      <c r="M164" s="8" t="n">
        <v>21166.99</v>
      </c>
      <c r="N164" s="8" t="n">
        <v>1349372</v>
      </c>
      <c r="O164" s="5" t="n">
        <v>68.4</v>
      </c>
      <c r="P164" s="9" t="n">
        <v>4.34</v>
      </c>
      <c r="Q164" s="5" t="n">
        <v>0.43</v>
      </c>
      <c r="R164" s="5" t="s">
        <v>95</v>
      </c>
      <c r="S164" s="5" t="s">
        <v>375</v>
      </c>
      <c r="T164" s="5" t="n">
        <v>125</v>
      </c>
      <c r="U164" s="5" t="s">
        <v>80</v>
      </c>
      <c r="V164" s="5" t="s">
        <v>638</v>
      </c>
    </row>
    <row r="165" customFormat="false" ht="15" hidden="false" customHeight="false" outlineLevel="0" collapsed="false">
      <c r="A165" s="5" t="n">
        <v>164</v>
      </c>
      <c r="B165" s="5" t="s">
        <v>639</v>
      </c>
      <c r="C165" s="6" t="s">
        <v>49</v>
      </c>
      <c r="D165" s="5" t="s">
        <v>106</v>
      </c>
      <c r="E165" s="5" t="s">
        <v>107</v>
      </c>
      <c r="F165" s="5" t="s">
        <v>76</v>
      </c>
      <c r="G165" s="5" t="s">
        <v>101</v>
      </c>
      <c r="H165" s="5" t="s">
        <v>108</v>
      </c>
      <c r="I165" s="5" t="s">
        <v>109</v>
      </c>
      <c r="J165" s="7" t="n">
        <v>5850</v>
      </c>
      <c r="K165" s="8" t="n">
        <v>43400</v>
      </c>
      <c r="L165" s="8" t="n">
        <v>21</v>
      </c>
      <c r="M165" s="8" t="n">
        <v>133327.57</v>
      </c>
      <c r="N165" s="8" t="n">
        <v>1182438</v>
      </c>
      <c r="O165" s="5" t="n">
        <v>17.9</v>
      </c>
      <c r="P165" s="9" t="n">
        <v>4.95</v>
      </c>
      <c r="Q165" s="5" t="n">
        <v>0.58</v>
      </c>
      <c r="R165" s="5" t="s">
        <v>53</v>
      </c>
      <c r="S165" s="5" t="s">
        <v>165</v>
      </c>
      <c r="T165" s="5" t="n">
        <v>95</v>
      </c>
      <c r="U165" s="5" t="s">
        <v>80</v>
      </c>
      <c r="V165" s="5" t="s">
        <v>640</v>
      </c>
    </row>
    <row r="166" customFormat="false" ht="15" hidden="false" customHeight="false" outlineLevel="0" collapsed="false">
      <c r="A166" s="5" t="n">
        <v>165</v>
      </c>
      <c r="B166" s="5" t="s">
        <v>641</v>
      </c>
      <c r="C166" s="6" t="s">
        <v>49</v>
      </c>
      <c r="D166" s="5" t="s">
        <v>642</v>
      </c>
      <c r="E166" s="5" t="s">
        <v>643</v>
      </c>
      <c r="F166" s="5" t="s">
        <v>76</v>
      </c>
      <c r="G166" s="5" t="s">
        <v>101</v>
      </c>
      <c r="H166" s="5" t="s">
        <v>265</v>
      </c>
      <c r="I166" s="5" t="s">
        <v>122</v>
      </c>
      <c r="J166" s="7" t="n">
        <v>5816</v>
      </c>
      <c r="K166" s="8" t="n">
        <v>8220</v>
      </c>
      <c r="L166" s="8" t="n">
        <v>71</v>
      </c>
      <c r="M166" s="8" t="n">
        <v>29158.97</v>
      </c>
      <c r="N166" s="8" t="n">
        <v>774563</v>
      </c>
      <c r="O166" s="5" t="n">
        <v>48.2</v>
      </c>
      <c r="P166" s="9" t="n">
        <v>7.51</v>
      </c>
      <c r="Q166" s="5" t="n">
        <v>3.24</v>
      </c>
      <c r="R166" s="5" t="s">
        <v>95</v>
      </c>
      <c r="S166" s="5" t="s">
        <v>103</v>
      </c>
      <c r="T166" s="5" t="n">
        <v>65</v>
      </c>
      <c r="U166" s="5" t="s">
        <v>80</v>
      </c>
      <c r="V166" s="5" t="s">
        <v>644</v>
      </c>
    </row>
    <row r="167" customFormat="false" ht="15" hidden="false" customHeight="false" outlineLevel="0" collapsed="false">
      <c r="A167" s="5" t="n">
        <v>166</v>
      </c>
      <c r="B167" s="5" t="s">
        <v>645</v>
      </c>
      <c r="C167" s="6" t="s">
        <v>49</v>
      </c>
      <c r="D167" s="5" t="s">
        <v>125</v>
      </c>
      <c r="E167" s="5" t="s">
        <v>126</v>
      </c>
      <c r="F167" s="5" t="s">
        <v>76</v>
      </c>
      <c r="G167" s="5"/>
      <c r="H167" s="5" t="s">
        <v>102</v>
      </c>
      <c r="I167" s="5" t="s">
        <v>94</v>
      </c>
      <c r="J167" s="7" t="n">
        <v>5806</v>
      </c>
      <c r="K167" s="8" t="n">
        <v>21100</v>
      </c>
      <c r="L167" s="8" t="n">
        <v>47</v>
      </c>
      <c r="M167" s="8" t="n">
        <v>36085.6</v>
      </c>
      <c r="N167" s="8" t="n">
        <v>1295080</v>
      </c>
      <c r="O167" s="5" t="n">
        <v>30.7</v>
      </c>
      <c r="P167" s="9" t="n">
        <v>4.48</v>
      </c>
      <c r="Q167" s="5" t="n">
        <v>1.8</v>
      </c>
      <c r="R167" s="5" t="s">
        <v>53</v>
      </c>
      <c r="S167" s="5" t="s">
        <v>110</v>
      </c>
      <c r="T167" s="5" t="n">
        <v>34</v>
      </c>
      <c r="U167" s="5" t="s">
        <v>80</v>
      </c>
      <c r="V167" s="5" t="s">
        <v>646</v>
      </c>
    </row>
    <row r="168" customFormat="false" ht="15" hidden="false" customHeight="false" outlineLevel="0" collapsed="false">
      <c r="A168" s="5" t="n">
        <v>167</v>
      </c>
      <c r="B168" s="5" t="s">
        <v>647</v>
      </c>
      <c r="C168" s="6" t="s">
        <v>49</v>
      </c>
      <c r="D168" s="5" t="s">
        <v>608</v>
      </c>
      <c r="E168" s="5" t="s">
        <v>609</v>
      </c>
      <c r="F168" s="5" t="s">
        <v>76</v>
      </c>
      <c r="G168" s="5" t="s">
        <v>648</v>
      </c>
      <c r="H168" s="5" t="s">
        <v>581</v>
      </c>
      <c r="I168" s="5" t="s">
        <v>94</v>
      </c>
      <c r="J168" s="7" t="n">
        <v>5792</v>
      </c>
      <c r="K168" s="8" t="n">
        <v>9330</v>
      </c>
      <c r="L168" s="8" t="n">
        <v>30</v>
      </c>
      <c r="M168" s="8" t="n">
        <v>141025.37</v>
      </c>
      <c r="N168" s="8" t="n">
        <v>2356298</v>
      </c>
      <c r="O168" s="5" t="n">
        <v>12.4</v>
      </c>
      <c r="P168" s="9" t="n">
        <v>2.46</v>
      </c>
      <c r="Q168" s="5" t="n">
        <v>2.35</v>
      </c>
      <c r="R168" s="5" t="s">
        <v>53</v>
      </c>
      <c r="S168" s="5" t="s">
        <v>79</v>
      </c>
      <c r="T168" s="5" t="n">
        <v>96</v>
      </c>
      <c r="U168" s="5" t="s">
        <v>80</v>
      </c>
      <c r="V168" s="5" t="s">
        <v>649</v>
      </c>
    </row>
    <row r="169" customFormat="false" ht="15" hidden="false" customHeight="false" outlineLevel="0" collapsed="false">
      <c r="A169" s="5" t="n">
        <v>168</v>
      </c>
      <c r="B169" s="5" t="s">
        <v>650</v>
      </c>
      <c r="C169" s="6" t="s">
        <v>49</v>
      </c>
      <c r="D169" s="5" t="s">
        <v>651</v>
      </c>
      <c r="E169" s="5" t="s">
        <v>652</v>
      </c>
      <c r="F169" s="5" t="s">
        <v>76</v>
      </c>
      <c r="G169" s="5"/>
      <c r="H169" s="5" t="s">
        <v>653</v>
      </c>
      <c r="I169" s="5" t="s">
        <v>122</v>
      </c>
      <c r="J169" s="7" t="n">
        <v>5753</v>
      </c>
      <c r="K169" s="8" t="n">
        <v>2120</v>
      </c>
      <c r="L169" s="8" t="n">
        <v>53</v>
      </c>
      <c r="M169" s="8" t="n">
        <v>31116.43</v>
      </c>
      <c r="N169" s="8" t="n">
        <v>961336</v>
      </c>
      <c r="O169" s="5" t="n">
        <v>18.5</v>
      </c>
      <c r="P169" s="9" t="n">
        <v>5.98</v>
      </c>
      <c r="Q169" s="5" t="n">
        <v>1.26</v>
      </c>
      <c r="R169" s="5" t="s">
        <v>53</v>
      </c>
      <c r="S169" s="5" t="s">
        <v>96</v>
      </c>
      <c r="T169" s="5" t="n">
        <v>33</v>
      </c>
      <c r="U169" s="5" t="s">
        <v>80</v>
      </c>
      <c r="V169" s="5" t="s">
        <v>654</v>
      </c>
    </row>
    <row r="170" customFormat="false" ht="15" hidden="false" customHeight="false" outlineLevel="0" collapsed="false">
      <c r="A170" s="5" t="n">
        <v>169</v>
      </c>
      <c r="B170" s="5" t="s">
        <v>655</v>
      </c>
      <c r="C170" s="6" t="s">
        <v>49</v>
      </c>
      <c r="D170" s="5" t="s">
        <v>351</v>
      </c>
      <c r="E170" s="5" t="s">
        <v>352</v>
      </c>
      <c r="F170" s="5" t="s">
        <v>76</v>
      </c>
      <c r="G170" s="5" t="s">
        <v>346</v>
      </c>
      <c r="H170" s="5" t="s">
        <v>656</v>
      </c>
      <c r="I170" s="5" t="s">
        <v>657</v>
      </c>
      <c r="J170" s="7" t="n">
        <v>5721</v>
      </c>
      <c r="K170" s="8" t="n">
        <v>8270</v>
      </c>
      <c r="L170" s="8" t="n">
        <v>76</v>
      </c>
      <c r="M170" s="8" t="n">
        <v>28083.36</v>
      </c>
      <c r="N170" s="8" t="n">
        <v>1166552</v>
      </c>
      <c r="O170" s="5" t="n">
        <v>32.7</v>
      </c>
      <c r="P170" s="9" t="n">
        <v>4.9</v>
      </c>
      <c r="Q170" s="5" t="n">
        <v>4.26</v>
      </c>
      <c r="R170" s="5" t="s">
        <v>53</v>
      </c>
      <c r="S170" s="5" t="s">
        <v>79</v>
      </c>
      <c r="T170" s="5" t="n">
        <v>96</v>
      </c>
      <c r="U170" s="5" t="s">
        <v>80</v>
      </c>
      <c r="V170" s="5" t="s">
        <v>658</v>
      </c>
    </row>
    <row r="171" customFormat="false" ht="15" hidden="false" customHeight="false" outlineLevel="0" collapsed="false">
      <c r="A171" s="5" t="n">
        <v>170</v>
      </c>
      <c r="B171" s="5" t="s">
        <v>659</v>
      </c>
      <c r="C171" s="6" t="s">
        <v>49</v>
      </c>
      <c r="D171" s="5" t="s">
        <v>83</v>
      </c>
      <c r="E171" s="5" t="s">
        <v>84</v>
      </c>
      <c r="F171" s="5"/>
      <c r="G171" s="5"/>
      <c r="H171" s="5" t="s">
        <v>660</v>
      </c>
      <c r="I171" s="5"/>
      <c r="J171" s="7" t="n">
        <v>5626</v>
      </c>
      <c r="K171" s="8" t="n">
        <v>1390</v>
      </c>
      <c r="L171" s="8" t="n">
        <v>36</v>
      </c>
      <c r="M171" s="8" t="n">
        <v>43508</v>
      </c>
      <c r="N171" s="8" t="n">
        <v>1218455</v>
      </c>
      <c r="O171" s="5" t="n">
        <v>33.1</v>
      </c>
      <c r="P171" s="9" t="n">
        <v>4.62</v>
      </c>
      <c r="Q171" s="5" t="n">
        <v>7.16</v>
      </c>
      <c r="R171" s="5" t="s">
        <v>53</v>
      </c>
      <c r="S171" s="5" t="s">
        <v>65</v>
      </c>
      <c r="T171" s="5" t="n">
        <v>30</v>
      </c>
      <c r="U171" s="5" t="s">
        <v>55</v>
      </c>
      <c r="V171" s="5" t="s">
        <v>661</v>
      </c>
    </row>
    <row r="172" customFormat="false" ht="15" hidden="false" customHeight="false" outlineLevel="0" collapsed="false">
      <c r="A172" s="5" t="n">
        <v>171</v>
      </c>
      <c r="B172" s="5" t="s">
        <v>662</v>
      </c>
      <c r="C172" s="6" t="s">
        <v>49</v>
      </c>
      <c r="D172" s="5" t="s">
        <v>129</v>
      </c>
      <c r="E172" s="5" t="s">
        <v>130</v>
      </c>
      <c r="F172" s="5" t="s">
        <v>76</v>
      </c>
      <c r="G172" s="5" t="s">
        <v>101</v>
      </c>
      <c r="H172" s="5" t="s">
        <v>131</v>
      </c>
      <c r="I172" s="5" t="s">
        <v>94</v>
      </c>
      <c r="J172" s="7" t="n">
        <v>5624</v>
      </c>
      <c r="K172" s="8" t="n">
        <v>4500</v>
      </c>
      <c r="L172" s="8" t="n">
        <v>54</v>
      </c>
      <c r="M172" s="8" t="n">
        <v>107580</v>
      </c>
      <c r="N172" s="8" t="n">
        <v>1075800</v>
      </c>
      <c r="O172" s="5" t="n">
        <v>52.7</v>
      </c>
      <c r="P172" s="9" t="n">
        <v>5.23</v>
      </c>
      <c r="Q172" s="5" t="n">
        <v>1.65</v>
      </c>
      <c r="R172" s="5" t="s">
        <v>53</v>
      </c>
      <c r="S172" s="5" t="s">
        <v>96</v>
      </c>
      <c r="T172" s="5" t="n">
        <v>33</v>
      </c>
      <c r="U172" s="5" t="s">
        <v>80</v>
      </c>
      <c r="V172" s="5" t="s">
        <v>663</v>
      </c>
    </row>
    <row r="173" customFormat="false" ht="15" hidden="false" customHeight="false" outlineLevel="0" collapsed="false">
      <c r="A173" s="5" t="n">
        <v>172</v>
      </c>
      <c r="B173" s="5" t="s">
        <v>664</v>
      </c>
      <c r="C173" s="6" t="s">
        <v>49</v>
      </c>
      <c r="D173" s="5" t="s">
        <v>665</v>
      </c>
      <c r="E173" s="5" t="s">
        <v>666</v>
      </c>
      <c r="F173" s="5" t="s">
        <v>76</v>
      </c>
      <c r="G173" s="5"/>
      <c r="H173" s="5" t="s">
        <v>131</v>
      </c>
      <c r="I173" s="5" t="s">
        <v>94</v>
      </c>
      <c r="J173" s="7" t="n">
        <v>5611</v>
      </c>
      <c r="K173" s="8" t="n">
        <v>2410</v>
      </c>
      <c r="L173" s="8" t="n">
        <v>66</v>
      </c>
      <c r="M173" s="8" t="n">
        <v>17257.56</v>
      </c>
      <c r="N173" s="8" t="n">
        <v>641473</v>
      </c>
      <c r="O173" s="5" t="n">
        <v>21.1</v>
      </c>
      <c r="P173" s="9" t="n">
        <v>8.75</v>
      </c>
      <c r="Q173" s="5" t="n">
        <v>1.47</v>
      </c>
      <c r="R173" s="5" t="s">
        <v>53</v>
      </c>
      <c r="S173" s="5" t="s">
        <v>184</v>
      </c>
      <c r="T173" s="5" t="n">
        <v>64</v>
      </c>
      <c r="U173" s="5" t="s">
        <v>80</v>
      </c>
      <c r="V173" s="5" t="s">
        <v>667</v>
      </c>
    </row>
    <row r="174" customFormat="false" ht="15" hidden="false" customHeight="false" outlineLevel="0" collapsed="false">
      <c r="A174" s="5" t="n">
        <v>173</v>
      </c>
      <c r="B174" s="5" t="s">
        <v>668</v>
      </c>
      <c r="C174" s="6" t="s">
        <v>49</v>
      </c>
      <c r="D174" s="5" t="s">
        <v>571</v>
      </c>
      <c r="E174" s="5" t="s">
        <v>572</v>
      </c>
      <c r="F174" s="5" t="s">
        <v>76</v>
      </c>
      <c r="G174" s="5" t="s">
        <v>101</v>
      </c>
      <c r="H174" s="5" t="s">
        <v>412</v>
      </c>
      <c r="I174" s="5" t="s">
        <v>180</v>
      </c>
      <c r="J174" s="7" t="n">
        <v>5601</v>
      </c>
      <c r="K174" s="8" t="n">
        <v>2700</v>
      </c>
      <c r="L174" s="8" t="n">
        <v>26</v>
      </c>
      <c r="M174" s="8" t="n">
        <v>155734.46</v>
      </c>
      <c r="N174" s="8" t="n">
        <v>2481758</v>
      </c>
      <c r="O174" s="5" t="n">
        <v>8.7</v>
      </c>
      <c r="P174" s="9" t="n">
        <v>2.26</v>
      </c>
      <c r="Q174" s="5" t="n">
        <v>3</v>
      </c>
      <c r="R174" s="5" t="s">
        <v>53</v>
      </c>
      <c r="S174" s="5" t="s">
        <v>184</v>
      </c>
      <c r="T174" s="5" t="n">
        <v>64</v>
      </c>
      <c r="U174" s="5" t="s">
        <v>80</v>
      </c>
      <c r="V174" s="5" t="s">
        <v>669</v>
      </c>
    </row>
    <row r="175" customFormat="false" ht="15" hidden="false" customHeight="false" outlineLevel="0" collapsed="false">
      <c r="A175" s="5" t="n">
        <v>174</v>
      </c>
      <c r="B175" s="5" t="s">
        <v>670</v>
      </c>
      <c r="C175" s="6" t="s">
        <v>49</v>
      </c>
      <c r="D175" s="5" t="s">
        <v>227</v>
      </c>
      <c r="E175" s="5" t="s">
        <v>228</v>
      </c>
      <c r="F175" s="5" t="s">
        <v>76</v>
      </c>
      <c r="G175" s="5" t="s">
        <v>309</v>
      </c>
      <c r="H175" s="5" t="s">
        <v>248</v>
      </c>
      <c r="I175" s="5" t="s">
        <v>94</v>
      </c>
      <c r="J175" s="7" t="n">
        <v>5559</v>
      </c>
      <c r="K175" s="8" t="n">
        <v>4890</v>
      </c>
      <c r="L175" s="8" t="n">
        <v>45</v>
      </c>
      <c r="M175" s="8" t="n">
        <v>19351.38</v>
      </c>
      <c r="N175" s="8" t="n">
        <v>539575</v>
      </c>
      <c r="O175" s="5" t="n">
        <v>129.7</v>
      </c>
      <c r="P175" s="9" t="n">
        <v>10.3</v>
      </c>
      <c r="Q175" s="5" t="n">
        <v>2.94</v>
      </c>
      <c r="R175" s="5" t="s">
        <v>95</v>
      </c>
      <c r="S175" s="5" t="s">
        <v>165</v>
      </c>
      <c r="T175" s="5" t="n">
        <v>95</v>
      </c>
      <c r="U175" s="5" t="s">
        <v>80</v>
      </c>
      <c r="V175" s="5" t="s">
        <v>671</v>
      </c>
    </row>
    <row r="176" customFormat="false" ht="15" hidden="false" customHeight="false" outlineLevel="0" collapsed="false">
      <c r="A176" s="5" t="n">
        <v>175</v>
      </c>
      <c r="B176" s="5" t="s">
        <v>672</v>
      </c>
      <c r="C176" s="6" t="s">
        <v>49</v>
      </c>
      <c r="D176" s="5" t="s">
        <v>554</v>
      </c>
      <c r="E176" s="5" t="s">
        <v>555</v>
      </c>
      <c r="F176" s="5" t="s">
        <v>76</v>
      </c>
      <c r="G176" s="5" t="s">
        <v>101</v>
      </c>
      <c r="H176" s="5" t="s">
        <v>93</v>
      </c>
      <c r="I176" s="5" t="s">
        <v>94</v>
      </c>
      <c r="J176" s="7" t="n">
        <v>5536</v>
      </c>
      <c r="K176" s="8" t="n">
        <v>6190</v>
      </c>
      <c r="L176" s="8" t="n">
        <v>171</v>
      </c>
      <c r="M176" s="8" t="n">
        <v>13355.67</v>
      </c>
      <c r="N176" s="8" t="n">
        <v>1164964</v>
      </c>
      <c r="O176" s="5" t="n">
        <v>22.6</v>
      </c>
      <c r="P176" s="9" t="n">
        <v>4.75</v>
      </c>
      <c r="Q176" s="5" t="n">
        <v>0.32</v>
      </c>
      <c r="R176" s="5" t="s">
        <v>95</v>
      </c>
      <c r="S176" s="5" t="s">
        <v>79</v>
      </c>
      <c r="T176" s="5" t="n">
        <v>96</v>
      </c>
      <c r="U176" s="5" t="s">
        <v>80</v>
      </c>
      <c r="V176" s="5" t="s">
        <v>673</v>
      </c>
    </row>
    <row r="177" customFormat="false" ht="15" hidden="false" customHeight="false" outlineLevel="0" collapsed="false">
      <c r="A177" s="5" t="n">
        <v>176</v>
      </c>
      <c r="B177" s="5" t="s">
        <v>674</v>
      </c>
      <c r="C177" s="6" t="s">
        <v>49</v>
      </c>
      <c r="D177" s="5" t="s">
        <v>675</v>
      </c>
      <c r="E177" s="5" t="s">
        <v>676</v>
      </c>
      <c r="F177" s="5" t="s">
        <v>76</v>
      </c>
      <c r="G177" s="5" t="s">
        <v>101</v>
      </c>
      <c r="H177" s="5" t="s">
        <v>677</v>
      </c>
      <c r="I177" s="5" t="s">
        <v>657</v>
      </c>
      <c r="J177" s="7" t="n">
        <v>5527</v>
      </c>
      <c r="K177" s="8" t="n">
        <v>3090</v>
      </c>
      <c r="L177" s="8" t="n">
        <v>72</v>
      </c>
      <c r="M177" s="8" t="n">
        <v>43836.22</v>
      </c>
      <c r="N177" s="8" t="n">
        <v>2680826</v>
      </c>
      <c r="O177" s="5" t="n">
        <v>5.3</v>
      </c>
      <c r="P177" s="9" t="n">
        <v>2.06</v>
      </c>
      <c r="Q177" s="5" t="n">
        <v>0.08</v>
      </c>
      <c r="R177" s="5" t="s">
        <v>95</v>
      </c>
      <c r="S177" s="5" t="s">
        <v>165</v>
      </c>
      <c r="T177" s="5" t="n">
        <v>95</v>
      </c>
      <c r="U177" s="5" t="s">
        <v>80</v>
      </c>
      <c r="V177" s="5" t="s">
        <v>678</v>
      </c>
    </row>
    <row r="178" customFormat="false" ht="15" hidden="false" customHeight="false" outlineLevel="0" collapsed="false">
      <c r="A178" s="5" t="n">
        <v>177</v>
      </c>
      <c r="B178" s="5" t="s">
        <v>679</v>
      </c>
      <c r="C178" s="6" t="s">
        <v>49</v>
      </c>
      <c r="D178" s="5" t="s">
        <v>227</v>
      </c>
      <c r="E178" s="5" t="s">
        <v>228</v>
      </c>
      <c r="F178" s="5" t="s">
        <v>76</v>
      </c>
      <c r="G178" s="5" t="s">
        <v>101</v>
      </c>
      <c r="H178" s="5" t="s">
        <v>93</v>
      </c>
      <c r="I178" s="5" t="s">
        <v>94</v>
      </c>
      <c r="J178" s="7" t="n">
        <v>5525</v>
      </c>
      <c r="K178" s="8" t="n">
        <v>5680</v>
      </c>
      <c r="L178" s="8" t="n">
        <v>148</v>
      </c>
      <c r="M178" s="8" t="n">
        <v>4939.29</v>
      </c>
      <c r="N178" s="8" t="n">
        <v>391581</v>
      </c>
      <c r="O178" s="5" t="n">
        <v>176.6</v>
      </c>
      <c r="P178" s="9" t="n">
        <v>14.11</v>
      </c>
      <c r="Q178" s="5" t="n">
        <v>0.76</v>
      </c>
      <c r="R178" s="5" t="s">
        <v>95</v>
      </c>
      <c r="S178" s="5" t="s">
        <v>79</v>
      </c>
      <c r="T178" s="5" t="n">
        <v>96</v>
      </c>
      <c r="U178" s="5" t="s">
        <v>80</v>
      </c>
      <c r="V178" s="5" t="s">
        <v>680</v>
      </c>
    </row>
    <row r="179" customFormat="false" ht="15" hidden="false" customHeight="false" outlineLevel="0" collapsed="false">
      <c r="A179" s="5" t="n">
        <v>178</v>
      </c>
      <c r="B179" s="5" t="s">
        <v>681</v>
      </c>
      <c r="C179" s="6" t="s">
        <v>49</v>
      </c>
      <c r="D179" s="5" t="s">
        <v>274</v>
      </c>
      <c r="E179" s="5" t="s">
        <v>275</v>
      </c>
      <c r="F179" s="5" t="s">
        <v>76</v>
      </c>
      <c r="G179" s="5" t="s">
        <v>682</v>
      </c>
      <c r="H179" s="5" t="s">
        <v>131</v>
      </c>
      <c r="I179" s="5" t="s">
        <v>94</v>
      </c>
      <c r="J179" s="7" t="n">
        <v>5519</v>
      </c>
      <c r="K179" s="8" t="n">
        <v>10900</v>
      </c>
      <c r="L179" s="8" t="n">
        <v>82</v>
      </c>
      <c r="M179" s="8" t="n">
        <v>49734.73</v>
      </c>
      <c r="N179" s="8" t="n">
        <v>1383532</v>
      </c>
      <c r="O179" s="5" t="n">
        <v>36.1</v>
      </c>
      <c r="P179" s="9" t="n">
        <v>3.99</v>
      </c>
      <c r="Q179" s="5" t="n">
        <v>0.94</v>
      </c>
      <c r="R179" s="5" t="s">
        <v>53</v>
      </c>
      <c r="S179" s="5" t="s">
        <v>103</v>
      </c>
      <c r="T179" s="5" t="n">
        <v>65</v>
      </c>
      <c r="U179" s="5" t="s">
        <v>80</v>
      </c>
      <c r="V179" s="5" t="s">
        <v>683</v>
      </c>
    </row>
    <row r="180" customFormat="false" ht="15" hidden="false" customHeight="false" outlineLevel="0" collapsed="false">
      <c r="A180" s="5" t="n">
        <v>179</v>
      </c>
      <c r="B180" s="5" t="s">
        <v>684</v>
      </c>
      <c r="C180" s="6" t="s">
        <v>49</v>
      </c>
      <c r="D180" s="5" t="s">
        <v>685</v>
      </c>
      <c r="E180" s="5" t="s">
        <v>686</v>
      </c>
      <c r="F180" s="5" t="s">
        <v>76</v>
      </c>
      <c r="G180" s="5"/>
      <c r="H180" s="5" t="s">
        <v>435</v>
      </c>
      <c r="I180" s="5" t="s">
        <v>94</v>
      </c>
      <c r="J180" s="7" t="n">
        <v>5486</v>
      </c>
      <c r="K180" s="8" t="n">
        <v>9740</v>
      </c>
      <c r="L180" s="8" t="n">
        <v>104</v>
      </c>
      <c r="M180" s="8" t="n">
        <v>21782.68</v>
      </c>
      <c r="N180" s="8" t="n">
        <v>1650071</v>
      </c>
      <c r="O180" s="5" t="n">
        <v>29.5</v>
      </c>
      <c r="P180" s="9" t="n">
        <v>3.32</v>
      </c>
      <c r="Q180" s="5" t="n">
        <v>1.62</v>
      </c>
      <c r="R180" s="5" t="s">
        <v>53</v>
      </c>
      <c r="S180" s="5" t="s">
        <v>375</v>
      </c>
      <c r="T180" s="5" t="n">
        <v>125</v>
      </c>
      <c r="U180" s="5" t="s">
        <v>80</v>
      </c>
      <c r="V180" s="5" t="s">
        <v>687</v>
      </c>
    </row>
    <row r="181" customFormat="false" ht="15" hidden="false" customHeight="false" outlineLevel="0" collapsed="false">
      <c r="A181" s="5" t="n">
        <v>180</v>
      </c>
      <c r="B181" s="5" t="s">
        <v>688</v>
      </c>
      <c r="C181" s="6" t="s">
        <v>49</v>
      </c>
      <c r="D181" s="5" t="s">
        <v>385</v>
      </c>
      <c r="E181" s="5" t="s">
        <v>386</v>
      </c>
      <c r="F181" s="5" t="s">
        <v>76</v>
      </c>
      <c r="G181" s="5" t="s">
        <v>101</v>
      </c>
      <c r="H181" s="5" t="s">
        <v>568</v>
      </c>
      <c r="I181" s="5" t="s">
        <v>109</v>
      </c>
      <c r="J181" s="7" t="n">
        <v>5453</v>
      </c>
      <c r="K181" s="8" t="n">
        <v>9260</v>
      </c>
      <c r="L181" s="8" t="n">
        <v>33</v>
      </c>
      <c r="M181" s="8" t="n">
        <v>55509.09</v>
      </c>
      <c r="N181" s="8" t="n">
        <v>1003297</v>
      </c>
      <c r="O181" s="5" t="n">
        <v>29</v>
      </c>
      <c r="P181" s="9" t="n">
        <v>5.44</v>
      </c>
      <c r="Q181" s="5" t="n">
        <v>5.59</v>
      </c>
      <c r="R181" s="5" t="s">
        <v>53</v>
      </c>
      <c r="S181" s="5" t="s">
        <v>103</v>
      </c>
      <c r="T181" s="5" t="n">
        <v>65</v>
      </c>
      <c r="U181" s="5" t="s">
        <v>80</v>
      </c>
      <c r="V181" s="5" t="s">
        <v>689</v>
      </c>
    </row>
    <row r="182" customFormat="false" ht="15" hidden="false" customHeight="false" outlineLevel="0" collapsed="false">
      <c r="A182" s="5" t="n">
        <v>181</v>
      </c>
      <c r="B182" s="5" t="s">
        <v>690</v>
      </c>
      <c r="C182" s="6" t="s">
        <v>49</v>
      </c>
      <c r="D182" s="5" t="s">
        <v>545</v>
      </c>
      <c r="E182" s="5" t="s">
        <v>546</v>
      </c>
      <c r="F182" s="5" t="s">
        <v>76</v>
      </c>
      <c r="G182" s="5"/>
      <c r="H182" s="5" t="s">
        <v>614</v>
      </c>
      <c r="I182" s="5" t="s">
        <v>94</v>
      </c>
      <c r="J182" s="7" t="n">
        <v>5444</v>
      </c>
      <c r="K182" s="8" t="n">
        <v>8100</v>
      </c>
      <c r="L182" s="8" t="n">
        <v>8</v>
      </c>
      <c r="M182" s="8" t="n">
        <v>281987.5</v>
      </c>
      <c r="N182" s="8" t="n">
        <v>2080282</v>
      </c>
      <c r="O182" s="5" t="n">
        <v>14.9</v>
      </c>
      <c r="P182" s="9" t="n">
        <v>2.62</v>
      </c>
      <c r="Q182" s="5" t="n">
        <v>3.97</v>
      </c>
      <c r="R182" s="5" t="s">
        <v>53</v>
      </c>
      <c r="S182" s="5" t="s">
        <v>165</v>
      </c>
      <c r="T182" s="5" t="n">
        <v>95</v>
      </c>
      <c r="U182" s="5" t="s">
        <v>80</v>
      </c>
      <c r="V182" s="5" t="s">
        <v>691</v>
      </c>
    </row>
    <row r="183" customFormat="false" ht="15" hidden="false" customHeight="false" outlineLevel="0" collapsed="false">
      <c r="A183" s="5" t="n">
        <v>182</v>
      </c>
      <c r="B183" s="5" t="s">
        <v>692</v>
      </c>
      <c r="C183" s="6" t="s">
        <v>49</v>
      </c>
      <c r="D183" s="5" t="s">
        <v>693</v>
      </c>
      <c r="E183" s="5" t="s">
        <v>694</v>
      </c>
      <c r="F183" s="5" t="s">
        <v>76</v>
      </c>
      <c r="G183" s="5" t="s">
        <v>101</v>
      </c>
      <c r="H183" s="5" t="s">
        <v>131</v>
      </c>
      <c r="I183" s="5" t="s">
        <v>94</v>
      </c>
      <c r="J183" s="7" t="n">
        <v>5431</v>
      </c>
      <c r="K183" s="8" t="n">
        <v>21000</v>
      </c>
      <c r="L183" s="8" t="n">
        <v>31</v>
      </c>
      <c r="M183" s="8" t="n">
        <v>54216.13</v>
      </c>
      <c r="N183" s="8" t="n">
        <v>545903</v>
      </c>
      <c r="O183" s="5" t="n">
        <v>52.8</v>
      </c>
      <c r="P183" s="9" t="n">
        <v>9.95</v>
      </c>
      <c r="Q183" s="5" t="n">
        <v>2.8</v>
      </c>
      <c r="R183" s="5" t="s">
        <v>53</v>
      </c>
      <c r="S183" s="5" t="s">
        <v>103</v>
      </c>
      <c r="T183" s="5" t="n">
        <v>65</v>
      </c>
      <c r="U183" s="5" t="s">
        <v>80</v>
      </c>
      <c r="V183" s="5" t="s">
        <v>695</v>
      </c>
    </row>
    <row r="184" customFormat="false" ht="15" hidden="false" customHeight="false" outlineLevel="0" collapsed="false">
      <c r="A184" s="5" t="n">
        <v>183</v>
      </c>
      <c r="B184" s="5" t="s">
        <v>696</v>
      </c>
      <c r="C184" s="6" t="s">
        <v>49</v>
      </c>
      <c r="D184" s="5" t="s">
        <v>129</v>
      </c>
      <c r="E184" s="5" t="s">
        <v>130</v>
      </c>
      <c r="F184" s="5" t="s">
        <v>76</v>
      </c>
      <c r="G184" s="5"/>
      <c r="H184" s="5" t="s">
        <v>131</v>
      </c>
      <c r="I184" s="5" t="s">
        <v>94</v>
      </c>
      <c r="J184" s="7" t="n">
        <v>5419</v>
      </c>
      <c r="K184" s="8" t="n">
        <v>11500</v>
      </c>
      <c r="L184" s="8" t="n">
        <v>40</v>
      </c>
      <c r="M184" s="8" t="n">
        <v>47878.45</v>
      </c>
      <c r="N184" s="8" t="n">
        <v>740890</v>
      </c>
      <c r="O184" s="5" t="n">
        <v>59.1</v>
      </c>
      <c r="P184" s="9" t="n">
        <v>7.31</v>
      </c>
      <c r="Q184" s="5" t="n">
        <v>0.91</v>
      </c>
      <c r="R184" s="5" t="s">
        <v>53</v>
      </c>
      <c r="S184" s="5" t="s">
        <v>184</v>
      </c>
      <c r="T184" s="5" t="n">
        <v>64</v>
      </c>
      <c r="U184" s="5" t="s">
        <v>80</v>
      </c>
      <c r="V184" s="5" t="s">
        <v>697</v>
      </c>
    </row>
    <row r="185" customFormat="false" ht="15" hidden="false" customHeight="false" outlineLevel="0" collapsed="false">
      <c r="A185" s="5" t="n">
        <v>184</v>
      </c>
      <c r="B185" s="5" t="s">
        <v>698</v>
      </c>
      <c r="C185" s="6" t="s">
        <v>49</v>
      </c>
      <c r="D185" s="5" t="s">
        <v>448</v>
      </c>
      <c r="E185" s="5" t="s">
        <v>449</v>
      </c>
      <c r="F185" s="5" t="s">
        <v>76</v>
      </c>
      <c r="G185" s="5" t="s">
        <v>101</v>
      </c>
      <c r="H185" s="5" t="s">
        <v>699</v>
      </c>
      <c r="I185" s="5" t="s">
        <v>700</v>
      </c>
      <c r="J185" s="7" t="n">
        <v>5402</v>
      </c>
      <c r="K185" s="8" t="n">
        <v>4000</v>
      </c>
      <c r="L185" s="8" t="n">
        <v>199</v>
      </c>
      <c r="M185" s="8" t="n">
        <v>3242.49</v>
      </c>
      <c r="N185" s="8" t="n">
        <v>516352</v>
      </c>
      <c r="O185" s="5" t="n">
        <v>27.4</v>
      </c>
      <c r="P185" s="9" t="n">
        <v>10.46</v>
      </c>
      <c r="Q185" s="5" t="n">
        <v>0.41</v>
      </c>
      <c r="R185" s="5" t="s">
        <v>53</v>
      </c>
      <c r="S185" s="5" t="s">
        <v>165</v>
      </c>
      <c r="T185" s="5" t="n">
        <v>95</v>
      </c>
      <c r="U185" s="5" t="s">
        <v>80</v>
      </c>
      <c r="V185" s="5" t="s">
        <v>701</v>
      </c>
    </row>
    <row r="186" customFormat="false" ht="15" hidden="false" customHeight="false" outlineLevel="0" collapsed="false">
      <c r="A186" s="5" t="n">
        <v>185</v>
      </c>
      <c r="B186" s="5" t="s">
        <v>702</v>
      </c>
      <c r="C186" s="6" t="s">
        <v>49</v>
      </c>
      <c r="D186" s="5" t="s">
        <v>314</v>
      </c>
      <c r="E186" s="5" t="s">
        <v>315</v>
      </c>
      <c r="F186" s="5" t="s">
        <v>76</v>
      </c>
      <c r="G186" s="5" t="s">
        <v>101</v>
      </c>
      <c r="H186" s="5" t="s">
        <v>316</v>
      </c>
      <c r="I186" s="5" t="s">
        <v>94</v>
      </c>
      <c r="J186" s="7" t="n">
        <v>5332</v>
      </c>
      <c r="K186" s="8" t="n">
        <v>10300</v>
      </c>
      <c r="L186" s="8" t="n">
        <v>108</v>
      </c>
      <c r="M186" s="8" t="n">
        <v>27574.77</v>
      </c>
      <c r="N186" s="8" t="n">
        <v>1291020</v>
      </c>
      <c r="O186" s="5" t="n">
        <v>23</v>
      </c>
      <c r="P186" s="9" t="n">
        <v>4.13</v>
      </c>
      <c r="Q186" s="5" t="n">
        <v>0.54</v>
      </c>
      <c r="R186" s="5" t="s">
        <v>95</v>
      </c>
      <c r="S186" s="5" t="s">
        <v>116</v>
      </c>
      <c r="T186" s="5" t="n">
        <v>126</v>
      </c>
      <c r="U186" s="5" t="s">
        <v>80</v>
      </c>
      <c r="V186" s="5" t="s">
        <v>703</v>
      </c>
    </row>
    <row r="187" customFormat="false" ht="15" hidden="false" customHeight="false" outlineLevel="0" collapsed="false">
      <c r="A187" s="5" t="n">
        <v>186</v>
      </c>
      <c r="B187" s="5" t="s">
        <v>704</v>
      </c>
      <c r="C187" s="6" t="s">
        <v>49</v>
      </c>
      <c r="D187" s="5" t="s">
        <v>399</v>
      </c>
      <c r="E187" s="5" t="s">
        <v>400</v>
      </c>
      <c r="F187" s="5" t="s">
        <v>76</v>
      </c>
      <c r="G187" s="5" t="s">
        <v>101</v>
      </c>
      <c r="H187" s="5" t="s">
        <v>705</v>
      </c>
      <c r="I187" s="5" t="s">
        <v>122</v>
      </c>
      <c r="J187" s="7" t="n">
        <v>5322</v>
      </c>
      <c r="K187" s="8" t="n">
        <v>20300</v>
      </c>
      <c r="L187" s="8" t="n">
        <v>103</v>
      </c>
      <c r="M187" s="8" t="n">
        <v>27727.5</v>
      </c>
      <c r="N187" s="8" t="n">
        <v>1327821</v>
      </c>
      <c r="O187" s="5" t="n">
        <v>115.2</v>
      </c>
      <c r="P187" s="9" t="n">
        <v>4.01</v>
      </c>
      <c r="Q187" s="5" t="n">
        <v>0.38</v>
      </c>
      <c r="R187" s="5" t="s">
        <v>53</v>
      </c>
      <c r="S187" s="5" t="s">
        <v>165</v>
      </c>
      <c r="T187" s="5" t="n">
        <v>95</v>
      </c>
      <c r="U187" s="5" t="s">
        <v>80</v>
      </c>
      <c r="V187" s="5" t="s">
        <v>706</v>
      </c>
    </row>
    <row r="188" customFormat="false" ht="15" hidden="false" customHeight="false" outlineLevel="0" collapsed="false">
      <c r="A188" s="5" t="n">
        <v>187</v>
      </c>
      <c r="B188" s="5" t="s">
        <v>707</v>
      </c>
      <c r="C188" s="6" t="s">
        <v>49</v>
      </c>
      <c r="D188" s="5" t="s">
        <v>708</v>
      </c>
      <c r="E188" s="5" t="s">
        <v>709</v>
      </c>
      <c r="F188" s="5" t="s">
        <v>212</v>
      </c>
      <c r="G188" s="5" t="s">
        <v>101</v>
      </c>
      <c r="H188" s="5" t="s">
        <v>435</v>
      </c>
      <c r="I188" s="5" t="s">
        <v>122</v>
      </c>
      <c r="J188" s="7" t="n">
        <v>5306</v>
      </c>
      <c r="K188" s="8" t="n">
        <v>33200</v>
      </c>
      <c r="L188" s="8" t="n">
        <v>224</v>
      </c>
      <c r="M188" s="8" t="n">
        <v>37700.08</v>
      </c>
      <c r="N188" s="8" t="n">
        <v>2277183</v>
      </c>
      <c r="O188" s="5" t="n">
        <v>33</v>
      </c>
      <c r="P188" s="9" t="n">
        <v>2.33</v>
      </c>
      <c r="Q188" s="5" t="n">
        <v>0.49</v>
      </c>
      <c r="R188" s="5" t="s">
        <v>53</v>
      </c>
      <c r="S188" s="5" t="s">
        <v>165</v>
      </c>
      <c r="T188" s="5" t="n">
        <v>95</v>
      </c>
      <c r="U188" s="5" t="s">
        <v>80</v>
      </c>
      <c r="V188" s="5" t="s">
        <v>710</v>
      </c>
    </row>
    <row r="189" customFormat="false" ht="15" hidden="false" customHeight="false" outlineLevel="0" collapsed="false">
      <c r="A189" s="5" t="n">
        <v>188</v>
      </c>
      <c r="B189" s="5" t="s">
        <v>711</v>
      </c>
      <c r="C189" s="6" t="s">
        <v>49</v>
      </c>
      <c r="D189" s="5" t="s">
        <v>89</v>
      </c>
      <c r="E189" s="5" t="s">
        <v>90</v>
      </c>
      <c r="F189" s="5" t="s">
        <v>212</v>
      </c>
      <c r="G189" s="5" t="s">
        <v>101</v>
      </c>
      <c r="H189" s="5" t="s">
        <v>93</v>
      </c>
      <c r="I189" s="5" t="s">
        <v>94</v>
      </c>
      <c r="J189" s="7" t="n">
        <v>5301</v>
      </c>
      <c r="K189" s="8" t="n">
        <v>19100</v>
      </c>
      <c r="L189" s="8" t="n">
        <v>28</v>
      </c>
      <c r="M189" s="8" t="n">
        <v>107692.32</v>
      </c>
      <c r="N189" s="8" t="n">
        <v>2868092</v>
      </c>
      <c r="O189" s="5" t="n">
        <v>26.4</v>
      </c>
      <c r="P189" s="9" t="n">
        <v>1.85</v>
      </c>
      <c r="Q189" s="5" t="n">
        <v>2.45</v>
      </c>
      <c r="R189" s="5" t="s">
        <v>95</v>
      </c>
      <c r="S189" s="5" t="s">
        <v>96</v>
      </c>
      <c r="T189" s="5" t="n">
        <v>33</v>
      </c>
      <c r="U189" s="5" t="s">
        <v>80</v>
      </c>
      <c r="V189" s="5" t="s">
        <v>712</v>
      </c>
    </row>
    <row r="190" customFormat="false" ht="15" hidden="false" customHeight="false" outlineLevel="0" collapsed="false">
      <c r="A190" s="5" t="n">
        <v>189</v>
      </c>
      <c r="B190" s="5" t="s">
        <v>713</v>
      </c>
      <c r="C190" s="6" t="s">
        <v>49</v>
      </c>
      <c r="D190" s="5" t="s">
        <v>394</v>
      </c>
      <c r="E190" s="5" t="s">
        <v>395</v>
      </c>
      <c r="F190" s="5" t="s">
        <v>76</v>
      </c>
      <c r="G190" s="5" t="s">
        <v>714</v>
      </c>
      <c r="H190" s="5" t="s">
        <v>193</v>
      </c>
      <c r="I190" s="5" t="s">
        <v>94</v>
      </c>
      <c r="J190" s="7" t="n">
        <v>5281</v>
      </c>
      <c r="K190" s="8" t="n">
        <v>2650</v>
      </c>
      <c r="L190" s="8" t="n">
        <v>11</v>
      </c>
      <c r="M190" s="8" t="n">
        <v>49509.09</v>
      </c>
      <c r="N190" s="8" t="n">
        <v>546872</v>
      </c>
      <c r="O190" s="5" t="n">
        <v>113</v>
      </c>
      <c r="P190" s="9" t="n">
        <v>9.66</v>
      </c>
      <c r="Q190" s="5" t="n">
        <v>9.71</v>
      </c>
      <c r="R190" s="5" t="s">
        <v>95</v>
      </c>
      <c r="S190" s="5" t="s">
        <v>96</v>
      </c>
      <c r="T190" s="5" t="n">
        <v>33</v>
      </c>
      <c r="U190" s="5" t="s">
        <v>80</v>
      </c>
      <c r="V190" s="5" t="s">
        <v>715</v>
      </c>
    </row>
    <row r="191" customFormat="false" ht="15" hidden="false" customHeight="false" outlineLevel="0" collapsed="false">
      <c r="A191" s="5" t="n">
        <v>190</v>
      </c>
      <c r="B191" s="5" t="s">
        <v>716</v>
      </c>
      <c r="C191" s="6" t="s">
        <v>49</v>
      </c>
      <c r="D191" s="5" t="s">
        <v>187</v>
      </c>
      <c r="E191" s="5" t="s">
        <v>188</v>
      </c>
      <c r="F191" s="5" t="s">
        <v>212</v>
      </c>
      <c r="G191" s="5" t="s">
        <v>219</v>
      </c>
      <c r="H191" s="5" t="s">
        <v>540</v>
      </c>
      <c r="I191" s="5" t="s">
        <v>122</v>
      </c>
      <c r="J191" s="7" t="n">
        <v>5270</v>
      </c>
      <c r="K191" s="8" t="n">
        <v>4080</v>
      </c>
      <c r="L191" s="8" t="n">
        <v>217</v>
      </c>
      <c r="M191" s="8" t="n">
        <v>5120.93</v>
      </c>
      <c r="N191" s="8" t="n">
        <v>953488</v>
      </c>
      <c r="O191" s="5" t="n">
        <v>43.8</v>
      </c>
      <c r="P191" s="9" t="n">
        <v>5.53</v>
      </c>
      <c r="Q191" s="5" t="n">
        <v>0.5</v>
      </c>
      <c r="R191" s="5" t="s">
        <v>53</v>
      </c>
      <c r="S191" s="5" t="s">
        <v>165</v>
      </c>
      <c r="T191" s="5" t="n">
        <v>95</v>
      </c>
      <c r="U191" s="5" t="s">
        <v>80</v>
      </c>
      <c r="V191" s="5" t="s">
        <v>717</v>
      </c>
    </row>
    <row r="192" customFormat="false" ht="15" hidden="false" customHeight="false" outlineLevel="0" collapsed="false">
      <c r="A192" s="5" t="n">
        <v>191</v>
      </c>
      <c r="B192" s="5" t="s">
        <v>718</v>
      </c>
      <c r="C192" s="6" t="s">
        <v>49</v>
      </c>
      <c r="D192" s="5" t="s">
        <v>719</v>
      </c>
      <c r="E192" s="5" t="s">
        <v>720</v>
      </c>
      <c r="F192" s="5" t="s">
        <v>76</v>
      </c>
      <c r="G192" s="5" t="s">
        <v>309</v>
      </c>
      <c r="H192" s="5" t="s">
        <v>93</v>
      </c>
      <c r="I192" s="5" t="s">
        <v>109</v>
      </c>
      <c r="J192" s="7" t="n">
        <v>5251</v>
      </c>
      <c r="K192" s="8" t="n">
        <v>3960</v>
      </c>
      <c r="L192" s="8" t="n">
        <v>24</v>
      </c>
      <c r="M192" s="8" t="n">
        <v>85133.6</v>
      </c>
      <c r="N192" s="8" t="n">
        <v>2034867</v>
      </c>
      <c r="O192" s="5" t="n">
        <v>16</v>
      </c>
      <c r="P192" s="9" t="n">
        <v>2.58</v>
      </c>
      <c r="Q192" s="5" t="n">
        <v>1.41</v>
      </c>
      <c r="R192" s="5" t="s">
        <v>53</v>
      </c>
      <c r="S192" s="5" t="s">
        <v>184</v>
      </c>
      <c r="T192" s="5" t="n">
        <v>64</v>
      </c>
      <c r="U192" s="5" t="s">
        <v>80</v>
      </c>
      <c r="V192" s="5" t="s">
        <v>721</v>
      </c>
    </row>
    <row r="193" customFormat="false" ht="15" hidden="false" customHeight="false" outlineLevel="0" collapsed="false">
      <c r="A193" s="5" t="n">
        <v>192</v>
      </c>
      <c r="B193" s="5" t="s">
        <v>722</v>
      </c>
      <c r="C193" s="6" t="s">
        <v>49</v>
      </c>
      <c r="D193" s="5" t="s">
        <v>708</v>
      </c>
      <c r="E193" s="5" t="s">
        <v>709</v>
      </c>
      <c r="F193" s="5" t="s">
        <v>76</v>
      </c>
      <c r="G193" s="5" t="s">
        <v>101</v>
      </c>
      <c r="H193" s="5" t="s">
        <v>412</v>
      </c>
      <c r="I193" s="5" t="s">
        <v>94</v>
      </c>
      <c r="J193" s="7" t="n">
        <v>5219</v>
      </c>
      <c r="K193" s="8" t="n">
        <v>2750</v>
      </c>
      <c r="L193" s="8" t="n">
        <v>15</v>
      </c>
      <c r="M193" s="8" t="n">
        <v>415713.33</v>
      </c>
      <c r="N193" s="8" t="n">
        <v>3836653</v>
      </c>
      <c r="O193" s="5" t="n">
        <v>9.8</v>
      </c>
      <c r="P193" s="9" t="n">
        <v>1.36</v>
      </c>
      <c r="Q193" s="5" t="n">
        <v>72.65</v>
      </c>
      <c r="R193" s="5" t="s">
        <v>95</v>
      </c>
      <c r="S193" s="5" t="s">
        <v>103</v>
      </c>
      <c r="T193" s="5" t="n">
        <v>65</v>
      </c>
      <c r="U193" s="5" t="s">
        <v>80</v>
      </c>
      <c r="V193" s="5" t="s">
        <v>723</v>
      </c>
    </row>
    <row r="194" customFormat="false" ht="15" hidden="false" customHeight="false" outlineLevel="0" collapsed="false">
      <c r="A194" s="5" t="n">
        <v>193</v>
      </c>
      <c r="B194" s="5" t="s">
        <v>724</v>
      </c>
      <c r="C194" s="6" t="s">
        <v>49</v>
      </c>
      <c r="D194" s="5" t="s">
        <v>99</v>
      </c>
      <c r="E194" s="5" t="s">
        <v>100</v>
      </c>
      <c r="F194" s="5" t="s">
        <v>76</v>
      </c>
      <c r="G194" s="5"/>
      <c r="H194" s="5" t="s">
        <v>725</v>
      </c>
      <c r="I194" s="5" t="s">
        <v>94</v>
      </c>
      <c r="J194" s="7" t="n">
        <v>5166</v>
      </c>
      <c r="K194" s="8" t="n">
        <v>6500</v>
      </c>
      <c r="L194" s="8" t="n">
        <v>95</v>
      </c>
      <c r="M194" s="8" t="n">
        <v>12139.61</v>
      </c>
      <c r="N194" s="8" t="n">
        <v>968906</v>
      </c>
      <c r="O194" s="5" t="n">
        <v>31.3</v>
      </c>
      <c r="P194" s="9" t="n">
        <v>5.33</v>
      </c>
      <c r="Q194" s="5" t="n">
        <v>0.74</v>
      </c>
      <c r="R194" s="5" t="s">
        <v>95</v>
      </c>
      <c r="S194" s="5" t="s">
        <v>184</v>
      </c>
      <c r="T194" s="5" t="n">
        <v>64</v>
      </c>
      <c r="U194" s="5" t="s">
        <v>80</v>
      </c>
      <c r="V194" s="5" t="s">
        <v>726</v>
      </c>
    </row>
    <row r="195" customFormat="false" ht="15" hidden="false" customHeight="false" outlineLevel="0" collapsed="false">
      <c r="A195" s="5" t="n">
        <v>194</v>
      </c>
      <c r="B195" s="5" t="s">
        <v>727</v>
      </c>
      <c r="C195" s="6" t="s">
        <v>49</v>
      </c>
      <c r="D195" s="5" t="s">
        <v>89</v>
      </c>
      <c r="E195" s="5" t="s">
        <v>90</v>
      </c>
      <c r="F195" s="5" t="s">
        <v>212</v>
      </c>
      <c r="G195" s="5" t="s">
        <v>213</v>
      </c>
      <c r="H195" s="5" t="s">
        <v>93</v>
      </c>
      <c r="I195" s="5" t="s">
        <v>94</v>
      </c>
      <c r="J195" s="7" t="n">
        <v>5052</v>
      </c>
      <c r="K195" s="8" t="n">
        <v>13400</v>
      </c>
      <c r="L195" s="8" t="n">
        <v>16</v>
      </c>
      <c r="M195" s="8" t="n">
        <v>163050.31</v>
      </c>
      <c r="N195" s="8" t="n">
        <v>2612802</v>
      </c>
      <c r="O195" s="5" t="n">
        <v>13.7</v>
      </c>
      <c r="P195" s="9" t="n">
        <v>1.93</v>
      </c>
      <c r="Q195" s="5" t="n">
        <v>0.26</v>
      </c>
      <c r="R195" s="5" t="s">
        <v>53</v>
      </c>
      <c r="S195" s="5" t="s">
        <v>165</v>
      </c>
      <c r="T195" s="5" t="n">
        <v>95</v>
      </c>
      <c r="U195" s="5" t="s">
        <v>80</v>
      </c>
      <c r="V195" s="5" t="s">
        <v>728</v>
      </c>
    </row>
    <row r="196" customFormat="false" ht="15" hidden="false" customHeight="false" outlineLevel="0" collapsed="false">
      <c r="A196" s="5" t="n">
        <v>195</v>
      </c>
      <c r="B196" s="5" t="s">
        <v>729</v>
      </c>
      <c r="C196" s="6" t="s">
        <v>49</v>
      </c>
      <c r="D196" s="5" t="s">
        <v>50</v>
      </c>
      <c r="E196" s="5" t="s">
        <v>51</v>
      </c>
      <c r="F196" s="5" t="s">
        <v>76</v>
      </c>
      <c r="G196" s="5" t="s">
        <v>101</v>
      </c>
      <c r="H196" s="5" t="s">
        <v>158</v>
      </c>
      <c r="I196" s="5" t="s">
        <v>159</v>
      </c>
      <c r="J196" s="7" t="n">
        <v>5026</v>
      </c>
      <c r="K196" s="8" t="n">
        <v>14200</v>
      </c>
      <c r="L196" s="8" t="n">
        <v>130</v>
      </c>
      <c r="M196" s="8" t="n">
        <v>74107.35</v>
      </c>
      <c r="N196" s="8" t="n">
        <v>1868191</v>
      </c>
      <c r="O196" s="5" t="n">
        <v>18.8</v>
      </c>
      <c r="P196" s="9" t="n">
        <v>2.69</v>
      </c>
      <c r="Q196" s="5" t="n">
        <v>4.25</v>
      </c>
      <c r="R196" s="5" t="s">
        <v>53</v>
      </c>
      <c r="S196" s="5" t="s">
        <v>730</v>
      </c>
      <c r="T196" s="5" t="n">
        <v>124</v>
      </c>
      <c r="U196" s="5" t="s">
        <v>80</v>
      </c>
      <c r="V196" s="5" t="s">
        <v>731</v>
      </c>
    </row>
    <row r="197" customFormat="false" ht="15" hidden="false" customHeight="false" outlineLevel="0" collapsed="false">
      <c r="A197" s="5" t="n">
        <v>196</v>
      </c>
      <c r="B197" s="5" t="s">
        <v>732</v>
      </c>
      <c r="C197" s="6" t="s">
        <v>49</v>
      </c>
      <c r="D197" s="5" t="s">
        <v>74</v>
      </c>
      <c r="E197" s="5" t="s">
        <v>75</v>
      </c>
      <c r="F197" s="5" t="s">
        <v>76</v>
      </c>
      <c r="G197" s="5" t="s">
        <v>101</v>
      </c>
      <c r="H197" s="5" t="s">
        <v>77</v>
      </c>
      <c r="I197" s="5" t="s">
        <v>78</v>
      </c>
      <c r="J197" s="7" t="n">
        <v>5009</v>
      </c>
      <c r="K197" s="8" t="n">
        <v>3380</v>
      </c>
      <c r="L197" s="8" t="n">
        <v>50</v>
      </c>
      <c r="M197" s="8" t="n">
        <v>32065.2</v>
      </c>
      <c r="N197" s="8" t="n">
        <v>994130</v>
      </c>
      <c r="O197" s="5" t="n">
        <v>27.8</v>
      </c>
      <c r="P197" s="9" t="n">
        <v>5.04</v>
      </c>
      <c r="Q197" s="5" t="n">
        <v>2.18</v>
      </c>
      <c r="R197" s="5" t="s">
        <v>53</v>
      </c>
      <c r="S197" s="5" t="s">
        <v>184</v>
      </c>
      <c r="T197" s="5" t="n">
        <v>64</v>
      </c>
      <c r="U197" s="5" t="s">
        <v>80</v>
      </c>
      <c r="V197" s="5" t="s">
        <v>733</v>
      </c>
    </row>
    <row r="198" customFormat="false" ht="15" hidden="false" customHeight="false" outlineLevel="0" collapsed="false">
      <c r="A198" s="5" t="n">
        <v>197</v>
      </c>
      <c r="B198" s="5" t="s">
        <v>734</v>
      </c>
      <c r="C198" s="6" t="s">
        <v>49</v>
      </c>
      <c r="D198" s="5" t="s">
        <v>83</v>
      </c>
      <c r="E198" s="5" t="s">
        <v>84</v>
      </c>
      <c r="F198" s="5" t="s">
        <v>76</v>
      </c>
      <c r="G198" s="5" t="s">
        <v>101</v>
      </c>
      <c r="H198" s="5" t="s">
        <v>656</v>
      </c>
      <c r="I198" s="5" t="s">
        <v>296</v>
      </c>
      <c r="J198" s="7" t="n">
        <v>5004</v>
      </c>
      <c r="K198" s="8" t="n">
        <v>6260</v>
      </c>
      <c r="L198" s="8" t="n">
        <v>210</v>
      </c>
      <c r="M198" s="8" t="n">
        <v>15063.15</v>
      </c>
      <c r="N198" s="8" t="n">
        <v>1967404</v>
      </c>
      <c r="O198" s="5" t="n">
        <v>20.1</v>
      </c>
      <c r="P198" s="9" t="n">
        <v>2.54</v>
      </c>
      <c r="Q198" s="5" t="n">
        <v>2.37</v>
      </c>
      <c r="R198" s="5" t="s">
        <v>53</v>
      </c>
      <c r="S198" s="5" t="s">
        <v>79</v>
      </c>
      <c r="T198" s="5" t="n">
        <v>96</v>
      </c>
      <c r="U198" s="5" t="s">
        <v>80</v>
      </c>
      <c r="V198" s="5" t="s">
        <v>735</v>
      </c>
    </row>
    <row r="199" customFormat="false" ht="15" hidden="false" customHeight="false" outlineLevel="0" collapsed="false">
      <c r="A199" s="5" t="n">
        <v>198</v>
      </c>
      <c r="B199" s="5" t="s">
        <v>736</v>
      </c>
      <c r="C199" s="6" t="s">
        <v>49</v>
      </c>
      <c r="D199" s="5" t="s">
        <v>351</v>
      </c>
      <c r="E199" s="5" t="s">
        <v>352</v>
      </c>
      <c r="F199" s="5" t="s">
        <v>76</v>
      </c>
      <c r="G199" s="5" t="s">
        <v>101</v>
      </c>
      <c r="H199" s="5" t="s">
        <v>289</v>
      </c>
      <c r="I199" s="5" t="s">
        <v>94</v>
      </c>
      <c r="J199" s="7" t="n">
        <v>4998</v>
      </c>
      <c r="K199" s="8" t="n">
        <v>2820</v>
      </c>
      <c r="L199" s="8" t="n">
        <v>14</v>
      </c>
      <c r="M199" s="8" t="n">
        <v>32879.64</v>
      </c>
      <c r="N199" s="8" t="n">
        <v>689103</v>
      </c>
      <c r="O199" s="5" t="n">
        <v>28.6</v>
      </c>
      <c r="P199" s="9" t="n">
        <v>7.25</v>
      </c>
      <c r="Q199" s="5" t="n">
        <v>0.81</v>
      </c>
      <c r="R199" s="5" t="s">
        <v>53</v>
      </c>
      <c r="S199" s="5" t="s">
        <v>96</v>
      </c>
      <c r="T199" s="5" t="n">
        <v>33</v>
      </c>
      <c r="U199" s="5" t="s">
        <v>80</v>
      </c>
      <c r="V199" s="5" t="s">
        <v>737</v>
      </c>
    </row>
    <row r="200" customFormat="false" ht="15" hidden="false" customHeight="false" outlineLevel="0" collapsed="false">
      <c r="A200" s="5" t="n">
        <v>199</v>
      </c>
      <c r="B200" s="5" t="s">
        <v>738</v>
      </c>
      <c r="C200" s="6" t="s">
        <v>49</v>
      </c>
      <c r="D200" s="5" t="s">
        <v>739</v>
      </c>
      <c r="E200" s="5" t="s">
        <v>740</v>
      </c>
      <c r="F200" s="5" t="s">
        <v>76</v>
      </c>
      <c r="G200" s="5" t="s">
        <v>101</v>
      </c>
      <c r="H200" s="5" t="s">
        <v>299</v>
      </c>
      <c r="I200" s="5" t="s">
        <v>122</v>
      </c>
      <c r="J200" s="7" t="n">
        <v>4993</v>
      </c>
      <c r="K200" s="8" t="n">
        <v>18500</v>
      </c>
      <c r="L200" s="8" t="n">
        <v>58</v>
      </c>
      <c r="M200" s="8" t="n">
        <v>110566.97</v>
      </c>
      <c r="N200" s="8" t="n">
        <v>2458030</v>
      </c>
      <c r="O200" s="5" t="n">
        <v>30.2</v>
      </c>
      <c r="P200" s="9" t="n">
        <v>2.03</v>
      </c>
      <c r="Q200" s="5" t="n">
        <v>2.55</v>
      </c>
      <c r="R200" s="5" t="s">
        <v>53</v>
      </c>
      <c r="S200" s="5" t="s">
        <v>116</v>
      </c>
      <c r="T200" s="5" t="n">
        <v>126</v>
      </c>
      <c r="U200" s="5" t="s">
        <v>80</v>
      </c>
      <c r="V200" s="5" t="s">
        <v>741</v>
      </c>
    </row>
    <row r="201" customFormat="false" ht="15" hidden="false" customHeight="false" outlineLevel="0" collapsed="false">
      <c r="A201" s="5" t="n">
        <v>200</v>
      </c>
      <c r="B201" s="5" t="s">
        <v>742</v>
      </c>
      <c r="C201" s="6" t="s">
        <v>49</v>
      </c>
      <c r="D201" s="5" t="s">
        <v>579</v>
      </c>
      <c r="E201" s="5" t="s">
        <v>580</v>
      </c>
      <c r="F201" s="5" t="s">
        <v>76</v>
      </c>
      <c r="G201" s="5"/>
      <c r="H201" s="5" t="s">
        <v>248</v>
      </c>
      <c r="I201" s="5" t="s">
        <v>94</v>
      </c>
      <c r="J201" s="7" t="n">
        <v>4984</v>
      </c>
      <c r="K201" s="8" t="n">
        <v>30500</v>
      </c>
      <c r="L201" s="8" t="n">
        <v>103</v>
      </c>
      <c r="M201" s="8" t="n">
        <v>33286.77</v>
      </c>
      <c r="N201" s="8" t="n">
        <v>1992995</v>
      </c>
      <c r="O201" s="5" t="n">
        <v>30.8</v>
      </c>
      <c r="P201" s="9" t="n">
        <v>2.5</v>
      </c>
      <c r="Q201" s="5" t="n">
        <v>0.62</v>
      </c>
      <c r="R201" s="5" t="s">
        <v>53</v>
      </c>
      <c r="S201" s="5" t="s">
        <v>184</v>
      </c>
      <c r="T201" s="5" t="n">
        <v>64</v>
      </c>
      <c r="U201" s="5" t="s">
        <v>80</v>
      </c>
      <c r="V201" s="5" t="s">
        <v>743</v>
      </c>
    </row>
    <row r="202" customFormat="false" ht="15" hidden="false" customHeight="false" outlineLevel="0" collapsed="false">
      <c r="A202" s="5" t="n">
        <v>201</v>
      </c>
      <c r="B202" s="5" t="s">
        <v>744</v>
      </c>
      <c r="C202" s="6" t="s">
        <v>49</v>
      </c>
      <c r="D202" s="5" t="s">
        <v>50</v>
      </c>
      <c r="E202" s="5" t="s">
        <v>51</v>
      </c>
      <c r="F202" s="5" t="s">
        <v>76</v>
      </c>
      <c r="G202" s="5" t="s">
        <v>101</v>
      </c>
      <c r="H202" s="5" t="s">
        <v>745</v>
      </c>
      <c r="I202" s="5" t="s">
        <v>94</v>
      </c>
      <c r="J202" s="7" t="n">
        <v>4966</v>
      </c>
      <c r="K202" s="8" t="n">
        <v>5950</v>
      </c>
      <c r="L202" s="8" t="n">
        <v>26</v>
      </c>
      <c r="M202" s="8" t="n">
        <v>123788.46</v>
      </c>
      <c r="N202" s="8" t="n">
        <v>2050722</v>
      </c>
      <c r="O202" s="5" t="n">
        <v>25.2</v>
      </c>
      <c r="P202" s="9" t="n">
        <v>2.42</v>
      </c>
      <c r="Q202" s="5" t="n">
        <v>12.21</v>
      </c>
      <c r="R202" s="5" t="s">
        <v>53</v>
      </c>
      <c r="S202" s="5" t="s">
        <v>184</v>
      </c>
      <c r="T202" s="5" t="n">
        <v>64</v>
      </c>
      <c r="U202" s="5" t="s">
        <v>80</v>
      </c>
      <c r="V202" s="5" t="s">
        <v>746</v>
      </c>
    </row>
    <row r="203" customFormat="false" ht="15" hidden="false" customHeight="false" outlineLevel="0" collapsed="false">
      <c r="A203" s="5" t="n">
        <v>202</v>
      </c>
      <c r="B203" s="5" t="s">
        <v>747</v>
      </c>
      <c r="C203" s="6" t="s">
        <v>49</v>
      </c>
      <c r="D203" s="5" t="s">
        <v>200</v>
      </c>
      <c r="E203" s="5" t="s">
        <v>201</v>
      </c>
      <c r="F203" s="5" t="s">
        <v>76</v>
      </c>
      <c r="G203" s="5" t="s">
        <v>309</v>
      </c>
      <c r="H203" s="5" t="s">
        <v>748</v>
      </c>
      <c r="I203" s="5" t="s">
        <v>78</v>
      </c>
      <c r="J203" s="7" t="n">
        <v>4952</v>
      </c>
      <c r="K203" s="8" t="n">
        <v>16700</v>
      </c>
      <c r="L203" s="8" t="n">
        <v>152</v>
      </c>
      <c r="M203" s="8" t="n">
        <v>42289.42</v>
      </c>
      <c r="N203" s="8" t="n">
        <v>2770610</v>
      </c>
      <c r="O203" s="5" t="n">
        <v>7.6</v>
      </c>
      <c r="P203" s="9" t="n">
        <v>1.79</v>
      </c>
      <c r="Q203" s="5" t="n">
        <v>2</v>
      </c>
      <c r="R203" s="5" t="s">
        <v>53</v>
      </c>
      <c r="S203" s="5" t="s">
        <v>79</v>
      </c>
      <c r="T203" s="5" t="n">
        <v>96</v>
      </c>
      <c r="U203" s="5" t="s">
        <v>80</v>
      </c>
      <c r="V203" s="5" t="s">
        <v>749</v>
      </c>
    </row>
    <row r="204" customFormat="false" ht="15" hidden="false" customHeight="false" outlineLevel="0" collapsed="false">
      <c r="A204" s="5" t="n">
        <v>203</v>
      </c>
      <c r="B204" s="5" t="s">
        <v>750</v>
      </c>
      <c r="C204" s="6" t="s">
        <v>49</v>
      </c>
      <c r="D204" s="5" t="s">
        <v>751</v>
      </c>
      <c r="E204" s="5" t="s">
        <v>752</v>
      </c>
      <c r="F204" s="5" t="s">
        <v>76</v>
      </c>
      <c r="G204" s="5" t="s">
        <v>101</v>
      </c>
      <c r="H204" s="5" t="s">
        <v>753</v>
      </c>
      <c r="I204" s="5" t="s">
        <v>180</v>
      </c>
      <c r="J204" s="7" t="n">
        <v>4920</v>
      </c>
      <c r="K204" s="8" t="n">
        <v>13700</v>
      </c>
      <c r="L204" s="8" t="n">
        <v>91</v>
      </c>
      <c r="M204" s="8" t="n">
        <v>100170.8</v>
      </c>
      <c r="N204" s="8" t="n">
        <v>1613128</v>
      </c>
      <c r="O204" s="5" t="n">
        <v>39.6</v>
      </c>
      <c r="P204" s="9" t="n">
        <v>3.05</v>
      </c>
      <c r="Q204" s="5" t="n">
        <v>3.4</v>
      </c>
      <c r="R204" s="5" t="s">
        <v>53</v>
      </c>
      <c r="S204" s="5" t="s">
        <v>79</v>
      </c>
      <c r="T204" s="5" t="n">
        <v>96</v>
      </c>
      <c r="U204" s="5" t="s">
        <v>80</v>
      </c>
      <c r="V204" s="5" t="s">
        <v>754</v>
      </c>
    </row>
    <row r="205" customFormat="false" ht="15" hidden="false" customHeight="false" outlineLevel="0" collapsed="false">
      <c r="A205" s="5" t="n">
        <v>204</v>
      </c>
      <c r="B205" s="5" t="s">
        <v>755</v>
      </c>
      <c r="C205" s="6" t="s">
        <v>49</v>
      </c>
      <c r="D205" s="5" t="s">
        <v>342</v>
      </c>
      <c r="E205" s="5" t="s">
        <v>343</v>
      </c>
      <c r="F205" s="5" t="s">
        <v>76</v>
      </c>
      <c r="G205" s="5" t="s">
        <v>101</v>
      </c>
      <c r="H205" s="5" t="s">
        <v>93</v>
      </c>
      <c r="I205" s="5" t="s">
        <v>122</v>
      </c>
      <c r="J205" s="7" t="n">
        <v>4904</v>
      </c>
      <c r="K205" s="8" t="n">
        <v>2550</v>
      </c>
      <c r="L205" s="8" t="n">
        <v>60</v>
      </c>
      <c r="M205" s="8" t="n">
        <v>11449.6</v>
      </c>
      <c r="N205" s="8" t="n">
        <v>599100</v>
      </c>
      <c r="O205" s="5" t="n">
        <v>35.2</v>
      </c>
      <c r="P205" s="9" t="n">
        <v>8.19</v>
      </c>
      <c r="Q205" s="5" t="n">
        <v>1.01</v>
      </c>
      <c r="R205" s="5" t="s">
        <v>95</v>
      </c>
      <c r="S205" s="5" t="s">
        <v>103</v>
      </c>
      <c r="T205" s="5" t="n">
        <v>65</v>
      </c>
      <c r="U205" s="5" t="s">
        <v>80</v>
      </c>
      <c r="V205" s="5" t="s">
        <v>756</v>
      </c>
    </row>
    <row r="206" customFormat="false" ht="15" hidden="false" customHeight="false" outlineLevel="0" collapsed="false">
      <c r="A206" s="5" t="n">
        <v>205</v>
      </c>
      <c r="B206" s="5" t="s">
        <v>757</v>
      </c>
      <c r="C206" s="6" t="s">
        <v>49</v>
      </c>
      <c r="D206" s="5" t="s">
        <v>125</v>
      </c>
      <c r="E206" s="5" t="s">
        <v>126</v>
      </c>
      <c r="F206" s="5" t="s">
        <v>91</v>
      </c>
      <c r="G206" s="5" t="s">
        <v>92</v>
      </c>
      <c r="H206" s="5" t="s">
        <v>758</v>
      </c>
      <c r="I206" s="5" t="s">
        <v>78</v>
      </c>
      <c r="J206" s="7" t="n">
        <v>4895</v>
      </c>
      <c r="K206" s="8" t="n">
        <v>9520</v>
      </c>
      <c r="L206" s="8" t="n">
        <v>86</v>
      </c>
      <c r="M206" s="8" t="n">
        <v>18632.09</v>
      </c>
      <c r="N206" s="8" t="n">
        <v>1105262</v>
      </c>
      <c r="O206" s="5" t="n">
        <v>25.8</v>
      </c>
      <c r="P206" s="9" t="n">
        <v>4.43</v>
      </c>
      <c r="Q206" s="5" t="n">
        <v>1.24</v>
      </c>
      <c r="R206" s="5" t="s">
        <v>53</v>
      </c>
      <c r="S206" s="5" t="s">
        <v>165</v>
      </c>
      <c r="T206" s="5" t="n">
        <v>95</v>
      </c>
      <c r="U206" s="5" t="s">
        <v>80</v>
      </c>
      <c r="V206" s="5" t="s">
        <v>759</v>
      </c>
    </row>
    <row r="207" customFormat="false" ht="15" hidden="false" customHeight="false" outlineLevel="0" collapsed="false">
      <c r="A207" s="5" t="n">
        <v>206</v>
      </c>
      <c r="B207" s="5" t="s">
        <v>760</v>
      </c>
      <c r="C207" s="6" t="s">
        <v>49</v>
      </c>
      <c r="D207" s="5" t="s">
        <v>227</v>
      </c>
      <c r="E207" s="5" t="s">
        <v>228</v>
      </c>
      <c r="F207" s="5" t="s">
        <v>91</v>
      </c>
      <c r="G207" s="5" t="s">
        <v>370</v>
      </c>
      <c r="H207" s="5" t="s">
        <v>761</v>
      </c>
      <c r="I207" s="5" t="s">
        <v>109</v>
      </c>
      <c r="J207" s="7" t="n">
        <v>4873</v>
      </c>
      <c r="K207" s="8" t="n">
        <v>2860</v>
      </c>
      <c r="L207" s="8" t="n">
        <v>131</v>
      </c>
      <c r="M207" s="8" t="n">
        <v>6128.17</v>
      </c>
      <c r="N207" s="8" t="n">
        <v>515053</v>
      </c>
      <c r="O207" s="5" t="n">
        <v>126.7</v>
      </c>
      <c r="P207" s="9" t="n">
        <v>9.46</v>
      </c>
      <c r="Q207" s="5" t="n">
        <v>1.09</v>
      </c>
      <c r="R207" s="5" t="s">
        <v>95</v>
      </c>
      <c r="S207" s="5" t="s">
        <v>165</v>
      </c>
      <c r="T207" s="5" t="n">
        <v>95</v>
      </c>
      <c r="U207" s="5" t="s">
        <v>80</v>
      </c>
      <c r="V207" s="5" t="s">
        <v>762</v>
      </c>
    </row>
    <row r="208" customFormat="false" ht="15" hidden="false" customHeight="false" outlineLevel="0" collapsed="false">
      <c r="A208" s="5" t="n">
        <v>207</v>
      </c>
      <c r="B208" s="5" t="s">
        <v>763</v>
      </c>
      <c r="C208" s="6" t="s">
        <v>49</v>
      </c>
      <c r="D208" s="5" t="s">
        <v>125</v>
      </c>
      <c r="E208" s="5" t="s">
        <v>126</v>
      </c>
      <c r="F208" s="5" t="s">
        <v>76</v>
      </c>
      <c r="G208" s="5" t="s">
        <v>764</v>
      </c>
      <c r="H208" s="5" t="s">
        <v>316</v>
      </c>
      <c r="I208" s="5" t="s">
        <v>94</v>
      </c>
      <c r="J208" s="7" t="n">
        <v>4863</v>
      </c>
      <c r="K208" s="8" t="n">
        <v>6300</v>
      </c>
      <c r="L208" s="8" t="n">
        <v>43</v>
      </c>
      <c r="M208" s="8" t="n">
        <v>25387.28</v>
      </c>
      <c r="N208" s="8" t="n">
        <v>1039290</v>
      </c>
      <c r="O208" s="5" t="n">
        <v>21.7</v>
      </c>
      <c r="P208" s="9" t="n">
        <v>4.68</v>
      </c>
      <c r="Q208" s="5" t="n">
        <v>0.47</v>
      </c>
      <c r="R208" s="5" t="s">
        <v>53</v>
      </c>
      <c r="S208" s="5" t="s">
        <v>184</v>
      </c>
      <c r="T208" s="5" t="n">
        <v>64</v>
      </c>
      <c r="U208" s="5" t="s">
        <v>80</v>
      </c>
      <c r="V208" s="5" t="s">
        <v>765</v>
      </c>
    </row>
    <row r="209" customFormat="false" ht="15" hidden="false" customHeight="false" outlineLevel="0" collapsed="false">
      <c r="A209" s="5" t="n">
        <v>208</v>
      </c>
      <c r="B209" s="5" t="s">
        <v>766</v>
      </c>
      <c r="C209" s="6" t="s">
        <v>49</v>
      </c>
      <c r="D209" s="5" t="s">
        <v>378</v>
      </c>
      <c r="E209" s="5" t="s">
        <v>379</v>
      </c>
      <c r="F209" s="5" t="s">
        <v>76</v>
      </c>
      <c r="G209" s="5"/>
      <c r="H209" s="5" t="s">
        <v>512</v>
      </c>
      <c r="I209" s="5" t="s">
        <v>94</v>
      </c>
      <c r="J209" s="7" t="n">
        <v>4815</v>
      </c>
      <c r="K209" s="8" t="n">
        <v>3860</v>
      </c>
      <c r="L209" s="8" t="n">
        <v>32</v>
      </c>
      <c r="M209" s="8" t="n">
        <v>49649.41</v>
      </c>
      <c r="N209" s="8" t="n">
        <v>1164328</v>
      </c>
      <c r="O209" s="5" t="n">
        <v>63.7</v>
      </c>
      <c r="P209" s="9" t="n">
        <v>4.14</v>
      </c>
      <c r="Q209" s="5" t="n">
        <v>1.97</v>
      </c>
      <c r="R209" s="5" t="s">
        <v>53</v>
      </c>
      <c r="S209" s="5" t="s">
        <v>110</v>
      </c>
      <c r="T209" s="5" t="n">
        <v>34</v>
      </c>
      <c r="U209" s="5" t="s">
        <v>80</v>
      </c>
      <c r="V209" s="5" t="s">
        <v>767</v>
      </c>
    </row>
    <row r="210" customFormat="false" ht="15" hidden="false" customHeight="false" outlineLevel="0" collapsed="false">
      <c r="A210" s="5" t="n">
        <v>209</v>
      </c>
      <c r="B210" s="5" t="s">
        <v>768</v>
      </c>
      <c r="C210" s="6" t="s">
        <v>49</v>
      </c>
      <c r="D210" s="5" t="s">
        <v>210</v>
      </c>
      <c r="E210" s="5" t="s">
        <v>211</v>
      </c>
      <c r="F210" s="5" t="s">
        <v>76</v>
      </c>
      <c r="G210" s="5" t="s">
        <v>101</v>
      </c>
      <c r="H210" s="5" t="s">
        <v>214</v>
      </c>
      <c r="I210" s="5" t="s">
        <v>94</v>
      </c>
      <c r="J210" s="7" t="n">
        <v>4799</v>
      </c>
      <c r="K210" s="8" t="n">
        <v>14400</v>
      </c>
      <c r="L210" s="8" t="n">
        <v>48</v>
      </c>
      <c r="M210" s="8" t="n">
        <v>161100.28</v>
      </c>
      <c r="N210" s="8" t="n">
        <v>1947158</v>
      </c>
      <c r="O210" s="5" t="n">
        <v>10</v>
      </c>
      <c r="P210" s="9" t="n">
        <v>2.46</v>
      </c>
      <c r="Q210" s="5" t="n">
        <v>0.72</v>
      </c>
      <c r="R210" s="5" t="s">
        <v>95</v>
      </c>
      <c r="S210" s="5" t="s">
        <v>79</v>
      </c>
      <c r="T210" s="5" t="n">
        <v>96</v>
      </c>
      <c r="U210" s="5" t="s">
        <v>80</v>
      </c>
      <c r="V210" s="5" t="s">
        <v>769</v>
      </c>
    </row>
    <row r="211" customFormat="false" ht="15" hidden="false" customHeight="false" outlineLevel="0" collapsed="false">
      <c r="A211" s="5" t="n">
        <v>210</v>
      </c>
      <c r="B211" s="5" t="s">
        <v>770</v>
      </c>
      <c r="C211" s="6" t="s">
        <v>49</v>
      </c>
      <c r="D211" s="5" t="s">
        <v>351</v>
      </c>
      <c r="E211" s="5" t="s">
        <v>352</v>
      </c>
      <c r="F211" s="5" t="s">
        <v>212</v>
      </c>
      <c r="G211" s="5" t="s">
        <v>213</v>
      </c>
      <c r="H211" s="5" t="s">
        <v>771</v>
      </c>
      <c r="I211" s="5" t="s">
        <v>657</v>
      </c>
      <c r="J211" s="7" t="n">
        <v>4791</v>
      </c>
      <c r="K211" s="8" t="n">
        <v>26300</v>
      </c>
      <c r="L211" s="8" t="n">
        <v>34</v>
      </c>
      <c r="M211" s="8" t="n">
        <v>150950</v>
      </c>
      <c r="N211" s="8" t="n">
        <v>1897288</v>
      </c>
      <c r="O211" s="5" t="n">
        <v>19.4</v>
      </c>
      <c r="P211" s="9" t="n">
        <v>2.53</v>
      </c>
      <c r="Q211" s="5" t="n">
        <v>5.9</v>
      </c>
      <c r="R211" s="5" t="s">
        <v>53</v>
      </c>
      <c r="S211" s="5" t="s">
        <v>375</v>
      </c>
      <c r="T211" s="5" t="n">
        <v>125</v>
      </c>
      <c r="U211" s="5" t="s">
        <v>80</v>
      </c>
      <c r="V211" s="5" t="s">
        <v>772</v>
      </c>
    </row>
    <row r="212" customFormat="false" ht="15" hidden="false" customHeight="false" outlineLevel="0" collapsed="false">
      <c r="A212" s="5" t="n">
        <v>211</v>
      </c>
      <c r="B212" s="5" t="s">
        <v>773</v>
      </c>
      <c r="C212" s="6" t="s">
        <v>49</v>
      </c>
      <c r="D212" s="5" t="s">
        <v>162</v>
      </c>
      <c r="E212" s="5" t="s">
        <v>163</v>
      </c>
      <c r="F212" s="5" t="s">
        <v>76</v>
      </c>
      <c r="G212" s="5" t="s">
        <v>101</v>
      </c>
      <c r="H212" s="5" t="s">
        <v>440</v>
      </c>
      <c r="I212" s="5" t="s">
        <v>300</v>
      </c>
      <c r="J212" s="7" t="n">
        <v>4789</v>
      </c>
      <c r="K212" s="8" t="n">
        <v>5140</v>
      </c>
      <c r="L212" s="8" t="n">
        <v>88</v>
      </c>
      <c r="M212" s="8" t="n">
        <v>10531.93</v>
      </c>
      <c r="N212" s="8" t="n">
        <v>527963</v>
      </c>
      <c r="O212" s="5" t="n">
        <v>58.5</v>
      </c>
      <c r="P212" s="9" t="n">
        <v>9.07</v>
      </c>
      <c r="Q212" s="5" t="n">
        <v>0.93</v>
      </c>
      <c r="R212" s="5" t="s">
        <v>95</v>
      </c>
      <c r="S212" s="5" t="s">
        <v>165</v>
      </c>
      <c r="T212" s="5" t="n">
        <v>95</v>
      </c>
      <c r="U212" s="5" t="s">
        <v>80</v>
      </c>
      <c r="V212" s="5" t="s">
        <v>774</v>
      </c>
    </row>
    <row r="213" customFormat="false" ht="15" hidden="false" customHeight="false" outlineLevel="0" collapsed="false">
      <c r="A213" s="5" t="n">
        <v>212</v>
      </c>
      <c r="B213" s="5" t="s">
        <v>775</v>
      </c>
      <c r="C213" s="6" t="s">
        <v>49</v>
      </c>
      <c r="D213" s="5" t="s">
        <v>751</v>
      </c>
      <c r="E213" s="5" t="s">
        <v>752</v>
      </c>
      <c r="F213" s="5" t="s">
        <v>76</v>
      </c>
      <c r="G213" s="5" t="s">
        <v>101</v>
      </c>
      <c r="H213" s="5" t="s">
        <v>279</v>
      </c>
      <c r="I213" s="5" t="s">
        <v>180</v>
      </c>
      <c r="J213" s="7" t="n">
        <v>4784</v>
      </c>
      <c r="K213" s="8" t="n">
        <v>2900</v>
      </c>
      <c r="L213" s="8" t="n">
        <v>19</v>
      </c>
      <c r="M213" s="8" t="n">
        <v>206665.16</v>
      </c>
      <c r="N213" s="8" t="n">
        <v>1644016</v>
      </c>
      <c r="O213" s="5" t="n">
        <v>29.4</v>
      </c>
      <c r="P213" s="9" t="n">
        <v>2.91</v>
      </c>
      <c r="Q213" s="5" t="n">
        <v>13.24</v>
      </c>
      <c r="R213" s="5" t="s">
        <v>53</v>
      </c>
      <c r="S213" s="5" t="s">
        <v>79</v>
      </c>
      <c r="T213" s="5" t="n">
        <v>96</v>
      </c>
      <c r="U213" s="5" t="s">
        <v>80</v>
      </c>
      <c r="V213" s="5" t="s">
        <v>776</v>
      </c>
    </row>
    <row r="214" customFormat="false" ht="15" hidden="false" customHeight="false" outlineLevel="0" collapsed="false">
      <c r="A214" s="5" t="n">
        <v>213</v>
      </c>
      <c r="B214" s="5" t="s">
        <v>777</v>
      </c>
      <c r="C214" s="6" t="s">
        <v>49</v>
      </c>
      <c r="D214" s="5" t="s">
        <v>99</v>
      </c>
      <c r="E214" s="5" t="s">
        <v>100</v>
      </c>
      <c r="F214" s="5" t="s">
        <v>76</v>
      </c>
      <c r="G214" s="5" t="s">
        <v>101</v>
      </c>
      <c r="H214" s="5" t="s">
        <v>725</v>
      </c>
      <c r="I214" s="5" t="s">
        <v>94</v>
      </c>
      <c r="J214" s="7" t="n">
        <v>4748</v>
      </c>
      <c r="K214" s="8" t="n">
        <v>4070</v>
      </c>
      <c r="L214" s="8" t="n">
        <v>21</v>
      </c>
      <c r="M214" s="8" t="n">
        <v>35135.52</v>
      </c>
      <c r="N214" s="8" t="n">
        <v>885593</v>
      </c>
      <c r="O214" s="5" t="n">
        <v>21.4</v>
      </c>
      <c r="P214" s="9" t="n">
        <v>5.36</v>
      </c>
      <c r="Q214" s="5" t="n">
        <v>0.47</v>
      </c>
      <c r="R214" s="5" t="s">
        <v>95</v>
      </c>
      <c r="S214" s="5" t="s">
        <v>96</v>
      </c>
      <c r="T214" s="5" t="n">
        <v>33</v>
      </c>
      <c r="U214" s="5" t="s">
        <v>80</v>
      </c>
      <c r="V214" s="5" t="s">
        <v>778</v>
      </c>
    </row>
    <row r="215" customFormat="false" ht="15" hidden="false" customHeight="false" outlineLevel="0" collapsed="false">
      <c r="A215" s="5" t="n">
        <v>214</v>
      </c>
      <c r="B215" s="5" t="s">
        <v>779</v>
      </c>
      <c r="C215" s="6" t="s">
        <v>49</v>
      </c>
      <c r="D215" s="5" t="s">
        <v>307</v>
      </c>
      <c r="E215" s="5" t="s">
        <v>308</v>
      </c>
      <c r="F215" s="5" t="s">
        <v>76</v>
      </c>
      <c r="G215" s="5"/>
      <c r="H215" s="5" t="s">
        <v>310</v>
      </c>
      <c r="I215" s="5" t="s">
        <v>296</v>
      </c>
      <c r="J215" s="7" t="n">
        <v>4705</v>
      </c>
      <c r="K215" s="8" t="n">
        <v>35300</v>
      </c>
      <c r="L215" s="8" t="n">
        <v>81</v>
      </c>
      <c r="M215" s="8" t="n">
        <v>43559.93</v>
      </c>
      <c r="N215" s="8" t="n">
        <v>884531</v>
      </c>
      <c r="O215" s="5" t="n">
        <v>32.4</v>
      </c>
      <c r="P215" s="9" t="n">
        <v>5.32</v>
      </c>
      <c r="Q215" s="5" t="n">
        <v>0.84</v>
      </c>
      <c r="R215" s="5" t="s">
        <v>53</v>
      </c>
      <c r="S215" s="5" t="s">
        <v>165</v>
      </c>
      <c r="T215" s="5" t="n">
        <v>95</v>
      </c>
      <c r="U215" s="5" t="s">
        <v>80</v>
      </c>
      <c r="V215" s="5" t="s">
        <v>780</v>
      </c>
    </row>
    <row r="216" customFormat="false" ht="15" hidden="false" customHeight="false" outlineLevel="0" collapsed="false">
      <c r="A216" s="5" t="n">
        <v>215</v>
      </c>
      <c r="B216" s="5" t="s">
        <v>781</v>
      </c>
      <c r="C216" s="6" t="s">
        <v>49</v>
      </c>
      <c r="D216" s="5" t="s">
        <v>210</v>
      </c>
      <c r="E216" s="5" t="s">
        <v>211</v>
      </c>
      <c r="F216" s="5" t="s">
        <v>76</v>
      </c>
      <c r="G216" s="5" t="s">
        <v>101</v>
      </c>
      <c r="H216" s="5" t="s">
        <v>214</v>
      </c>
      <c r="I216" s="5" t="s">
        <v>94</v>
      </c>
      <c r="J216" s="7" t="n">
        <v>4670</v>
      </c>
      <c r="K216" s="8" t="n">
        <v>6900</v>
      </c>
      <c r="L216" s="8" t="n">
        <v>120</v>
      </c>
      <c r="M216" s="8" t="n">
        <v>16381.08</v>
      </c>
      <c r="N216" s="8" t="n">
        <v>962957</v>
      </c>
      <c r="O216" s="5" t="n">
        <v>25.2</v>
      </c>
      <c r="P216" s="9" t="n">
        <v>4.85</v>
      </c>
      <c r="Q216" s="5" t="n">
        <v>1.04</v>
      </c>
      <c r="R216" s="5" t="s">
        <v>53</v>
      </c>
      <c r="S216" s="5" t="s">
        <v>116</v>
      </c>
      <c r="T216" s="5" t="n">
        <v>126</v>
      </c>
      <c r="U216" s="5" t="s">
        <v>80</v>
      </c>
      <c r="V216" s="5" t="s">
        <v>782</v>
      </c>
    </row>
    <row r="217" customFormat="false" ht="15" hidden="false" customHeight="false" outlineLevel="0" collapsed="false">
      <c r="A217" s="5" t="n">
        <v>216</v>
      </c>
      <c r="B217" s="5" t="s">
        <v>783</v>
      </c>
      <c r="C217" s="6" t="s">
        <v>49</v>
      </c>
      <c r="D217" s="5" t="s">
        <v>708</v>
      </c>
      <c r="E217" s="5" t="s">
        <v>709</v>
      </c>
      <c r="F217" s="5" t="s">
        <v>76</v>
      </c>
      <c r="G217" s="5" t="s">
        <v>101</v>
      </c>
      <c r="H217" s="5" t="s">
        <v>412</v>
      </c>
      <c r="I217" s="5" t="s">
        <v>94</v>
      </c>
      <c r="J217" s="7" t="n">
        <v>4637</v>
      </c>
      <c r="K217" s="8" t="n">
        <v>1810</v>
      </c>
      <c r="L217" s="8" t="n">
        <v>6</v>
      </c>
      <c r="M217" s="8" t="n">
        <v>123183.33</v>
      </c>
      <c r="N217" s="8" t="n">
        <v>286559</v>
      </c>
      <c r="O217" s="5" t="n">
        <v>19.6</v>
      </c>
      <c r="P217" s="9" t="n">
        <v>16.18</v>
      </c>
      <c r="Q217" s="5" t="n">
        <v>6.76</v>
      </c>
      <c r="R217" s="5" t="s">
        <v>95</v>
      </c>
      <c r="S217" s="5" t="s">
        <v>184</v>
      </c>
      <c r="T217" s="5" t="n">
        <v>64</v>
      </c>
      <c r="U217" s="5" t="s">
        <v>80</v>
      </c>
      <c r="V217" s="5" t="s">
        <v>784</v>
      </c>
    </row>
    <row r="218" customFormat="false" ht="15" hidden="false" customHeight="false" outlineLevel="0" collapsed="false">
      <c r="A218" s="5" t="n">
        <v>217</v>
      </c>
      <c r="B218" s="5" t="s">
        <v>785</v>
      </c>
      <c r="C218" s="6" t="s">
        <v>49</v>
      </c>
      <c r="D218" s="5" t="s">
        <v>125</v>
      </c>
      <c r="E218" s="5" t="s">
        <v>126</v>
      </c>
      <c r="F218" s="5" t="s">
        <v>76</v>
      </c>
      <c r="G218" s="5"/>
      <c r="H218" s="5" t="s">
        <v>339</v>
      </c>
      <c r="I218" s="5" t="s">
        <v>94</v>
      </c>
      <c r="J218" s="7" t="n">
        <v>4561</v>
      </c>
      <c r="K218" s="8" t="n">
        <v>6880</v>
      </c>
      <c r="L218" s="8" t="n">
        <v>34</v>
      </c>
      <c r="M218" s="8" t="n">
        <v>33585.35</v>
      </c>
      <c r="N218" s="8" t="n">
        <v>1551395</v>
      </c>
      <c r="O218" s="5" t="n">
        <v>22.7</v>
      </c>
      <c r="P218" s="9" t="n">
        <v>2.94</v>
      </c>
      <c r="Q218" s="5" t="n">
        <v>1.57</v>
      </c>
      <c r="R218" s="5" t="s">
        <v>95</v>
      </c>
      <c r="S218" s="5" t="s">
        <v>367</v>
      </c>
      <c r="T218" s="5" t="n">
        <v>30</v>
      </c>
      <c r="U218" s="5" t="s">
        <v>80</v>
      </c>
      <c r="V218" s="5" t="s">
        <v>786</v>
      </c>
    </row>
    <row r="219" customFormat="false" ht="15" hidden="false" customHeight="false" outlineLevel="0" collapsed="false">
      <c r="A219" s="5" t="n">
        <v>218</v>
      </c>
      <c r="B219" s="5" t="s">
        <v>787</v>
      </c>
      <c r="C219" s="6" t="s">
        <v>49</v>
      </c>
      <c r="D219" s="5" t="s">
        <v>303</v>
      </c>
      <c r="E219" s="5" t="s">
        <v>304</v>
      </c>
      <c r="F219" s="5" t="s">
        <v>76</v>
      </c>
      <c r="G219" s="5" t="s">
        <v>101</v>
      </c>
      <c r="H219" s="5" t="s">
        <v>131</v>
      </c>
      <c r="I219" s="5" t="s">
        <v>78</v>
      </c>
      <c r="J219" s="7" t="n">
        <v>4558</v>
      </c>
      <c r="K219" s="8" t="n">
        <v>11000</v>
      </c>
      <c r="L219" s="8" t="n">
        <v>296</v>
      </c>
      <c r="M219" s="8" t="n">
        <v>20648.5</v>
      </c>
      <c r="N219" s="8" t="n">
        <v>2230585</v>
      </c>
      <c r="O219" s="5" t="n">
        <v>25.6</v>
      </c>
      <c r="P219" s="9" t="n">
        <v>2.04</v>
      </c>
      <c r="Q219" s="5" t="n">
        <v>0.52</v>
      </c>
      <c r="R219" s="5" t="s">
        <v>53</v>
      </c>
      <c r="S219" s="5" t="s">
        <v>116</v>
      </c>
      <c r="T219" s="5" t="n">
        <v>126</v>
      </c>
      <c r="U219" s="5" t="s">
        <v>80</v>
      </c>
      <c r="V219" s="5" t="s">
        <v>788</v>
      </c>
    </row>
    <row r="220" customFormat="false" ht="15" hidden="false" customHeight="false" outlineLevel="0" collapsed="false">
      <c r="A220" s="5" t="n">
        <v>219</v>
      </c>
      <c r="B220" s="5" t="s">
        <v>789</v>
      </c>
      <c r="C220" s="6" t="s">
        <v>49</v>
      </c>
      <c r="D220" s="5" t="s">
        <v>515</v>
      </c>
      <c r="E220" s="5" t="s">
        <v>516</v>
      </c>
      <c r="F220" s="5" t="s">
        <v>76</v>
      </c>
      <c r="G220" s="5"/>
      <c r="H220" s="5" t="s">
        <v>624</v>
      </c>
      <c r="I220" s="5" t="s">
        <v>78</v>
      </c>
      <c r="J220" s="7" t="n">
        <v>4552</v>
      </c>
      <c r="K220" s="8" t="n">
        <v>40900</v>
      </c>
      <c r="L220" s="8" t="n">
        <v>359</v>
      </c>
      <c r="M220" s="8" t="n">
        <v>14627.37</v>
      </c>
      <c r="N220" s="8" t="n">
        <v>1561012</v>
      </c>
      <c r="O220" s="5" t="n">
        <v>11</v>
      </c>
      <c r="P220" s="9" t="n">
        <v>2.92</v>
      </c>
      <c r="Q220" s="5" t="n">
        <v>0.83</v>
      </c>
      <c r="R220" s="5" t="s">
        <v>53</v>
      </c>
      <c r="S220" s="5" t="s">
        <v>165</v>
      </c>
      <c r="T220" s="5" t="n">
        <v>95</v>
      </c>
      <c r="U220" s="5" t="s">
        <v>80</v>
      </c>
      <c r="V220" s="5" t="s">
        <v>790</v>
      </c>
    </row>
    <row r="221" customFormat="false" ht="15" hidden="false" customHeight="false" outlineLevel="0" collapsed="false">
      <c r="A221" s="5" t="n">
        <v>220</v>
      </c>
      <c r="B221" s="5" t="s">
        <v>791</v>
      </c>
      <c r="C221" s="6" t="s">
        <v>49</v>
      </c>
      <c r="D221" s="5" t="s">
        <v>792</v>
      </c>
      <c r="E221" s="5" t="s">
        <v>793</v>
      </c>
      <c r="F221" s="5" t="s">
        <v>76</v>
      </c>
      <c r="G221" s="5" t="s">
        <v>101</v>
      </c>
      <c r="H221" s="5" t="s">
        <v>121</v>
      </c>
      <c r="I221" s="5" t="s">
        <v>122</v>
      </c>
      <c r="J221" s="7" t="n">
        <v>4525</v>
      </c>
      <c r="K221" s="8" t="n">
        <v>32000</v>
      </c>
      <c r="L221" s="8" t="n">
        <v>60</v>
      </c>
      <c r="M221" s="8" t="n">
        <v>45861.67</v>
      </c>
      <c r="N221" s="8" t="n">
        <v>638897</v>
      </c>
      <c r="O221" s="5" t="n">
        <v>68.9</v>
      </c>
      <c r="P221" s="9" t="n">
        <v>7.08</v>
      </c>
      <c r="Q221" s="5" t="n">
        <v>1.2</v>
      </c>
      <c r="R221" s="5" t="s">
        <v>95</v>
      </c>
      <c r="S221" s="5" t="s">
        <v>79</v>
      </c>
      <c r="T221" s="5" t="n">
        <v>96</v>
      </c>
      <c r="U221" s="5" t="s">
        <v>80</v>
      </c>
      <c r="V221" s="5" t="s">
        <v>794</v>
      </c>
    </row>
    <row r="222" customFormat="false" ht="15" hidden="false" customHeight="false" outlineLevel="0" collapsed="false">
      <c r="A222" s="5" t="n">
        <v>221</v>
      </c>
      <c r="B222" s="5" t="s">
        <v>795</v>
      </c>
      <c r="C222" s="6" t="s">
        <v>49</v>
      </c>
      <c r="D222" s="5" t="s">
        <v>399</v>
      </c>
      <c r="E222" s="5" t="s">
        <v>400</v>
      </c>
      <c r="F222" s="5" t="s">
        <v>76</v>
      </c>
      <c r="G222" s="5" t="s">
        <v>101</v>
      </c>
      <c r="H222" s="5" t="s">
        <v>401</v>
      </c>
      <c r="I222" s="5" t="s">
        <v>122</v>
      </c>
      <c r="J222" s="7" t="n">
        <v>4505</v>
      </c>
      <c r="K222" s="8" t="n">
        <v>7030</v>
      </c>
      <c r="L222" s="8" t="n">
        <v>62</v>
      </c>
      <c r="M222" s="8" t="n">
        <v>25048.85</v>
      </c>
      <c r="N222" s="8" t="n">
        <v>762235</v>
      </c>
      <c r="O222" s="5" t="n">
        <v>124.2</v>
      </c>
      <c r="P222" s="9" t="n">
        <v>5.91</v>
      </c>
      <c r="Q222" s="5" t="n">
        <v>5.29</v>
      </c>
      <c r="R222" s="5" t="s">
        <v>53</v>
      </c>
      <c r="S222" s="5" t="s">
        <v>184</v>
      </c>
      <c r="T222" s="5" t="n">
        <v>64</v>
      </c>
      <c r="U222" s="5" t="s">
        <v>80</v>
      </c>
      <c r="V222" s="5" t="s">
        <v>796</v>
      </c>
    </row>
    <row r="223" customFormat="false" ht="15" hidden="false" customHeight="false" outlineLevel="0" collapsed="false">
      <c r="A223" s="5" t="n">
        <v>222</v>
      </c>
      <c r="B223" s="5" t="s">
        <v>797</v>
      </c>
      <c r="C223" s="6" t="s">
        <v>49</v>
      </c>
      <c r="D223" s="5" t="s">
        <v>525</v>
      </c>
      <c r="E223" s="5" t="s">
        <v>526</v>
      </c>
      <c r="F223" s="5"/>
      <c r="G223" s="5"/>
      <c r="H223" s="5" t="s">
        <v>798</v>
      </c>
      <c r="I223" s="5"/>
      <c r="J223" s="7" t="n">
        <v>4496</v>
      </c>
      <c r="K223" s="8" t="n">
        <v>1410</v>
      </c>
      <c r="L223" s="8" t="n">
        <v>193</v>
      </c>
      <c r="M223" s="8" t="n">
        <v>4783</v>
      </c>
      <c r="N223" s="8" t="n">
        <v>958457</v>
      </c>
      <c r="O223" s="5" t="n">
        <v>46.4</v>
      </c>
      <c r="P223" s="9" t="n">
        <v>4.69</v>
      </c>
      <c r="Q223" s="5" t="n">
        <v>0.11</v>
      </c>
      <c r="R223" s="5" t="s">
        <v>53</v>
      </c>
      <c r="S223" s="5" t="s">
        <v>65</v>
      </c>
      <c r="T223" s="5" t="n">
        <v>30</v>
      </c>
      <c r="U223" s="5" t="s">
        <v>55</v>
      </c>
      <c r="V223" s="5" t="s">
        <v>799</v>
      </c>
    </row>
    <row r="224" customFormat="false" ht="15" hidden="false" customHeight="false" outlineLevel="0" collapsed="false">
      <c r="A224" s="5" t="n">
        <v>223</v>
      </c>
      <c r="B224" s="5" t="s">
        <v>800</v>
      </c>
      <c r="C224" s="6" t="s">
        <v>49</v>
      </c>
      <c r="D224" s="5" t="s">
        <v>642</v>
      </c>
      <c r="E224" s="5" t="s">
        <v>643</v>
      </c>
      <c r="F224" s="5" t="s">
        <v>76</v>
      </c>
      <c r="G224" s="5" t="s">
        <v>101</v>
      </c>
      <c r="H224" s="5" t="s">
        <v>183</v>
      </c>
      <c r="I224" s="5" t="s">
        <v>122</v>
      </c>
      <c r="J224" s="7" t="n">
        <v>4426</v>
      </c>
      <c r="K224" s="8" t="n">
        <v>9150</v>
      </c>
      <c r="L224" s="8" t="n">
        <v>70</v>
      </c>
      <c r="M224" s="8" t="n">
        <v>26287.9</v>
      </c>
      <c r="N224" s="8" t="n">
        <v>440227</v>
      </c>
      <c r="O224" s="5" t="n">
        <v>43.2</v>
      </c>
      <c r="P224" s="9" t="n">
        <v>10.05</v>
      </c>
      <c r="Q224" s="5" t="n">
        <v>3.68</v>
      </c>
      <c r="R224" s="5" t="s">
        <v>95</v>
      </c>
      <c r="S224" s="5" t="s">
        <v>375</v>
      </c>
      <c r="T224" s="5" t="n">
        <v>125</v>
      </c>
      <c r="U224" s="5" t="s">
        <v>80</v>
      </c>
      <c r="V224" s="5" t="s">
        <v>801</v>
      </c>
    </row>
    <row r="225" customFormat="false" ht="15" hidden="false" customHeight="false" outlineLevel="0" collapsed="false">
      <c r="A225" s="5" t="n">
        <v>224</v>
      </c>
      <c r="B225" s="5" t="s">
        <v>802</v>
      </c>
      <c r="C225" s="6" t="s">
        <v>49</v>
      </c>
      <c r="D225" s="5" t="s">
        <v>803</v>
      </c>
      <c r="E225" s="5" t="s">
        <v>804</v>
      </c>
      <c r="F225" s="5" t="s">
        <v>212</v>
      </c>
      <c r="G225" s="5" t="s">
        <v>213</v>
      </c>
      <c r="H225" s="5" t="s">
        <v>93</v>
      </c>
      <c r="I225" s="5" t="s">
        <v>94</v>
      </c>
      <c r="J225" s="7" t="n">
        <v>4404</v>
      </c>
      <c r="K225" s="8" t="n">
        <v>30800</v>
      </c>
      <c r="L225" s="8" t="n">
        <v>25</v>
      </c>
      <c r="M225" s="8" t="n">
        <v>231360</v>
      </c>
      <c r="N225" s="8" t="n">
        <v>2277558</v>
      </c>
      <c r="O225" s="5" t="n">
        <v>51.9</v>
      </c>
      <c r="P225" s="9" t="n">
        <v>1.93</v>
      </c>
      <c r="Q225" s="5" t="n">
        <v>10.6</v>
      </c>
      <c r="R225" s="5" t="s">
        <v>95</v>
      </c>
      <c r="S225" s="5" t="s">
        <v>165</v>
      </c>
      <c r="T225" s="5" t="n">
        <v>95</v>
      </c>
      <c r="U225" s="5" t="s">
        <v>80</v>
      </c>
      <c r="V225" s="5" t="s">
        <v>805</v>
      </c>
    </row>
    <row r="226" customFormat="false" ht="15" hidden="false" customHeight="false" outlineLevel="0" collapsed="false">
      <c r="A226" s="5" t="n">
        <v>225</v>
      </c>
      <c r="B226" s="5" t="s">
        <v>806</v>
      </c>
      <c r="C226" s="6" t="s">
        <v>49</v>
      </c>
      <c r="D226" s="5" t="s">
        <v>129</v>
      </c>
      <c r="E226" s="5" t="s">
        <v>130</v>
      </c>
      <c r="F226" s="5" t="s">
        <v>76</v>
      </c>
      <c r="G226" s="5" t="s">
        <v>101</v>
      </c>
      <c r="H226" s="5" t="s">
        <v>131</v>
      </c>
      <c r="I226" s="5" t="s">
        <v>94</v>
      </c>
      <c r="J226" s="7" t="n">
        <v>4394</v>
      </c>
      <c r="K226" s="8" t="n">
        <v>8250</v>
      </c>
      <c r="L226" s="8" t="n">
        <v>14</v>
      </c>
      <c r="M226" s="8" t="n">
        <v>133928.57</v>
      </c>
      <c r="N226" s="8" t="n">
        <v>685416</v>
      </c>
      <c r="O226" s="5" t="n">
        <v>51.5</v>
      </c>
      <c r="P226" s="9" t="n">
        <v>6.41</v>
      </c>
      <c r="Q226" s="5" t="n">
        <v>2.65</v>
      </c>
      <c r="R226" s="5" t="s">
        <v>53</v>
      </c>
      <c r="S226" s="5" t="s">
        <v>165</v>
      </c>
      <c r="T226" s="5" t="n">
        <v>95</v>
      </c>
      <c r="U226" s="5" t="s">
        <v>80</v>
      </c>
      <c r="V226" s="5" t="s">
        <v>807</v>
      </c>
    </row>
    <row r="227" customFormat="false" ht="15" hidden="false" customHeight="false" outlineLevel="0" collapsed="false">
      <c r="A227" s="5" t="n">
        <v>226</v>
      </c>
      <c r="B227" s="5" t="s">
        <v>808</v>
      </c>
      <c r="C227" s="6" t="s">
        <v>49</v>
      </c>
      <c r="D227" s="5" t="s">
        <v>792</v>
      </c>
      <c r="E227" s="5" t="s">
        <v>793</v>
      </c>
      <c r="F227" s="5" t="s">
        <v>76</v>
      </c>
      <c r="G227" s="5" t="s">
        <v>101</v>
      </c>
      <c r="H227" s="5" t="s">
        <v>121</v>
      </c>
      <c r="I227" s="5" t="s">
        <v>122</v>
      </c>
      <c r="J227" s="7" t="n">
        <v>4357</v>
      </c>
      <c r="K227" s="8" t="n">
        <v>13600</v>
      </c>
      <c r="L227" s="8" t="n">
        <v>14</v>
      </c>
      <c r="M227" s="8" t="n">
        <v>118117.29</v>
      </c>
      <c r="N227" s="8" t="n">
        <v>1074003</v>
      </c>
      <c r="O227" s="5" t="n">
        <v>101.9</v>
      </c>
      <c r="P227" s="9" t="n">
        <v>4.06</v>
      </c>
      <c r="Q227" s="5" t="n">
        <v>0.34</v>
      </c>
      <c r="R227" s="5" t="s">
        <v>95</v>
      </c>
      <c r="S227" s="5" t="s">
        <v>79</v>
      </c>
      <c r="T227" s="5" t="n">
        <v>96</v>
      </c>
      <c r="U227" s="5" t="s">
        <v>80</v>
      </c>
      <c r="V227" s="5" t="s">
        <v>809</v>
      </c>
    </row>
    <row r="228" customFormat="false" ht="15" hidden="false" customHeight="false" outlineLevel="0" collapsed="false">
      <c r="A228" s="5" t="n">
        <v>227</v>
      </c>
      <c r="B228" s="5" t="s">
        <v>810</v>
      </c>
      <c r="C228" s="6" t="s">
        <v>49</v>
      </c>
      <c r="D228" s="5" t="s">
        <v>162</v>
      </c>
      <c r="E228" s="5" t="s">
        <v>163</v>
      </c>
      <c r="F228" s="5" t="s">
        <v>76</v>
      </c>
      <c r="G228" s="5" t="s">
        <v>101</v>
      </c>
      <c r="H228" s="5" t="s">
        <v>484</v>
      </c>
      <c r="I228" s="5" t="s">
        <v>300</v>
      </c>
      <c r="J228" s="7" t="n">
        <v>4339</v>
      </c>
      <c r="K228" s="8" t="n">
        <v>5600</v>
      </c>
      <c r="L228" s="8" t="n">
        <v>38</v>
      </c>
      <c r="M228" s="8" t="n">
        <v>20773.61</v>
      </c>
      <c r="N228" s="8" t="n">
        <v>561442</v>
      </c>
      <c r="O228" s="5" t="n">
        <v>119.1</v>
      </c>
      <c r="P228" s="9" t="n">
        <v>7.73</v>
      </c>
      <c r="Q228" s="5" t="n">
        <v>0.43</v>
      </c>
      <c r="R228" s="5" t="s">
        <v>95</v>
      </c>
      <c r="S228" s="5" t="s">
        <v>811</v>
      </c>
      <c r="T228" s="5" t="n">
        <v>93</v>
      </c>
      <c r="U228" s="5" t="s">
        <v>80</v>
      </c>
      <c r="V228" s="5" t="s">
        <v>812</v>
      </c>
    </row>
    <row r="229" customFormat="false" ht="15" hidden="false" customHeight="false" outlineLevel="0" collapsed="false">
      <c r="A229" s="5" t="n">
        <v>228</v>
      </c>
      <c r="B229" s="5" t="s">
        <v>813</v>
      </c>
      <c r="C229" s="6" t="s">
        <v>49</v>
      </c>
      <c r="D229" s="5" t="s">
        <v>719</v>
      </c>
      <c r="E229" s="5" t="s">
        <v>720</v>
      </c>
      <c r="F229" s="5" t="s">
        <v>76</v>
      </c>
      <c r="G229" s="5" t="s">
        <v>101</v>
      </c>
      <c r="H229" s="5" t="s">
        <v>102</v>
      </c>
      <c r="I229" s="5" t="s">
        <v>94</v>
      </c>
      <c r="J229" s="7" t="n">
        <v>4292</v>
      </c>
      <c r="K229" s="8" t="n">
        <v>15400</v>
      </c>
      <c r="L229" s="8" t="n">
        <v>63</v>
      </c>
      <c r="M229" s="8" t="n">
        <v>65357.22</v>
      </c>
      <c r="N229" s="8" t="n">
        <v>2531176</v>
      </c>
      <c r="O229" s="5" t="n">
        <v>20</v>
      </c>
      <c r="P229" s="9" t="n">
        <v>1.7</v>
      </c>
      <c r="Q229" s="5" t="n">
        <v>0.21</v>
      </c>
      <c r="R229" s="5" t="s">
        <v>53</v>
      </c>
      <c r="S229" s="5" t="s">
        <v>79</v>
      </c>
      <c r="T229" s="5" t="n">
        <v>96</v>
      </c>
      <c r="U229" s="5" t="s">
        <v>80</v>
      </c>
      <c r="V229" s="5" t="s">
        <v>814</v>
      </c>
    </row>
    <row r="230" customFormat="false" ht="15" hidden="false" customHeight="false" outlineLevel="0" collapsed="false">
      <c r="A230" s="5" t="n">
        <v>229</v>
      </c>
      <c r="B230" s="5" t="s">
        <v>815</v>
      </c>
      <c r="C230" s="6" t="s">
        <v>49</v>
      </c>
      <c r="D230" s="5" t="s">
        <v>719</v>
      </c>
      <c r="E230" s="5" t="s">
        <v>720</v>
      </c>
      <c r="F230" s="5" t="s">
        <v>76</v>
      </c>
      <c r="G230" s="5" t="s">
        <v>101</v>
      </c>
      <c r="H230" s="5" t="s">
        <v>296</v>
      </c>
      <c r="I230" s="5" t="s">
        <v>256</v>
      </c>
      <c r="J230" s="7" t="n">
        <v>4291</v>
      </c>
      <c r="K230" s="8" t="n">
        <v>18500</v>
      </c>
      <c r="L230" s="8" t="n">
        <v>53</v>
      </c>
      <c r="M230" s="8" t="n">
        <v>134586.79</v>
      </c>
      <c r="N230" s="8" t="n">
        <v>5060277</v>
      </c>
      <c r="O230" s="5" t="n">
        <v>9.4</v>
      </c>
      <c r="P230" s="9" t="n">
        <v>0.85</v>
      </c>
      <c r="Q230" s="5" t="n">
        <v>5.5</v>
      </c>
      <c r="R230" s="5" t="s">
        <v>53</v>
      </c>
      <c r="S230" s="5" t="s">
        <v>96</v>
      </c>
      <c r="T230" s="5" t="n">
        <v>33</v>
      </c>
      <c r="U230" s="5" t="s">
        <v>80</v>
      </c>
      <c r="V230" s="5" t="s">
        <v>816</v>
      </c>
    </row>
    <row r="231" customFormat="false" ht="15" hidden="false" customHeight="false" outlineLevel="0" collapsed="false">
      <c r="A231" s="5" t="n">
        <v>230</v>
      </c>
      <c r="B231" s="5" t="s">
        <v>817</v>
      </c>
      <c r="C231" s="6" t="s">
        <v>49</v>
      </c>
      <c r="D231" s="5" t="s">
        <v>50</v>
      </c>
      <c r="E231" s="5" t="s">
        <v>51</v>
      </c>
      <c r="F231" s="5" t="s">
        <v>76</v>
      </c>
      <c r="G231" s="5" t="s">
        <v>101</v>
      </c>
      <c r="H231" s="5" t="s">
        <v>745</v>
      </c>
      <c r="I231" s="5" t="s">
        <v>159</v>
      </c>
      <c r="J231" s="7" t="n">
        <v>4281</v>
      </c>
      <c r="K231" s="8" t="n">
        <v>7690</v>
      </c>
      <c r="L231" s="8" t="n">
        <v>162</v>
      </c>
      <c r="M231" s="8" t="n">
        <v>14680.63</v>
      </c>
      <c r="N231" s="8" t="n">
        <v>1384149</v>
      </c>
      <c r="O231" s="5" t="n">
        <v>46.1</v>
      </c>
      <c r="P231" s="9" t="n">
        <v>3.09</v>
      </c>
      <c r="Q231" s="5" t="n">
        <v>2.24</v>
      </c>
      <c r="R231" s="5" t="s">
        <v>53</v>
      </c>
      <c r="S231" s="5" t="s">
        <v>375</v>
      </c>
      <c r="T231" s="5" t="n">
        <v>125</v>
      </c>
      <c r="U231" s="5" t="s">
        <v>80</v>
      </c>
      <c r="V231" s="5" t="s">
        <v>818</v>
      </c>
    </row>
    <row r="232" customFormat="false" ht="15" hidden="false" customHeight="false" outlineLevel="0" collapsed="false">
      <c r="A232" s="5" t="n">
        <v>231</v>
      </c>
      <c r="B232" s="5" t="s">
        <v>819</v>
      </c>
      <c r="C232" s="6" t="s">
        <v>49</v>
      </c>
      <c r="D232" s="5" t="s">
        <v>50</v>
      </c>
      <c r="E232" s="5" t="s">
        <v>51</v>
      </c>
      <c r="F232" s="5" t="s">
        <v>76</v>
      </c>
      <c r="G232" s="5"/>
      <c r="H232" s="5" t="s">
        <v>820</v>
      </c>
      <c r="I232" s="5" t="s">
        <v>159</v>
      </c>
      <c r="J232" s="7" t="n">
        <v>4265</v>
      </c>
      <c r="K232" s="8" t="n">
        <v>43200</v>
      </c>
      <c r="L232" s="8" t="n">
        <v>102</v>
      </c>
      <c r="M232" s="8" t="n">
        <v>72418.75</v>
      </c>
      <c r="N232" s="8" t="n">
        <v>3107190</v>
      </c>
      <c r="O232" s="5" t="n">
        <v>11.5</v>
      </c>
      <c r="P232" s="9" t="n">
        <v>1.37</v>
      </c>
      <c r="Q232" s="5" t="n">
        <v>2.2</v>
      </c>
      <c r="R232" s="5" t="s">
        <v>53</v>
      </c>
      <c r="S232" s="5" t="s">
        <v>165</v>
      </c>
      <c r="T232" s="5" t="n">
        <v>95</v>
      </c>
      <c r="U232" s="5" t="s">
        <v>80</v>
      </c>
      <c r="V232" s="5" t="s">
        <v>821</v>
      </c>
    </row>
    <row r="233" customFormat="false" ht="15" hidden="false" customHeight="false" outlineLevel="0" collapsed="false">
      <c r="A233" s="5" t="n">
        <v>232</v>
      </c>
      <c r="B233" s="5" t="s">
        <v>822</v>
      </c>
      <c r="C233" s="6" t="s">
        <v>49</v>
      </c>
      <c r="D233" s="5" t="s">
        <v>423</v>
      </c>
      <c r="E233" s="5" t="s">
        <v>424</v>
      </c>
      <c r="F233" s="5" t="s">
        <v>76</v>
      </c>
      <c r="G233" s="5" t="s">
        <v>92</v>
      </c>
      <c r="H233" s="5" t="s">
        <v>316</v>
      </c>
      <c r="I233" s="5" t="s">
        <v>94</v>
      </c>
      <c r="J233" s="7" t="n">
        <v>4263</v>
      </c>
      <c r="K233" s="8" t="n">
        <v>13800</v>
      </c>
      <c r="L233" s="8" t="n">
        <v>72</v>
      </c>
      <c r="M233" s="8" t="n">
        <v>179177.78</v>
      </c>
      <c r="N233" s="8" t="n">
        <v>5335315</v>
      </c>
      <c r="O233" s="5" t="n">
        <v>17.3</v>
      </c>
      <c r="P233" s="9" t="n">
        <v>0.8</v>
      </c>
      <c r="Q233" s="5" t="n">
        <v>4.1</v>
      </c>
      <c r="R233" s="5" t="s">
        <v>95</v>
      </c>
      <c r="S233" s="5" t="s">
        <v>165</v>
      </c>
      <c r="T233" s="5" t="n">
        <v>95</v>
      </c>
      <c r="U233" s="5" t="s">
        <v>80</v>
      </c>
      <c r="V233" s="5" t="s">
        <v>823</v>
      </c>
    </row>
    <row r="234" customFormat="false" ht="15" hidden="false" customHeight="false" outlineLevel="0" collapsed="false">
      <c r="A234" s="5" t="n">
        <v>233</v>
      </c>
      <c r="B234" s="5" t="s">
        <v>824</v>
      </c>
      <c r="C234" s="6" t="s">
        <v>49</v>
      </c>
      <c r="D234" s="5" t="s">
        <v>50</v>
      </c>
      <c r="E234" s="5" t="s">
        <v>51</v>
      </c>
      <c r="F234" s="5"/>
      <c r="G234" s="5"/>
      <c r="H234" s="5" t="s">
        <v>825</v>
      </c>
      <c r="I234" s="5"/>
      <c r="J234" s="7" t="n">
        <v>4263</v>
      </c>
      <c r="K234" s="8" t="n">
        <v>21300</v>
      </c>
      <c r="L234" s="8" t="n">
        <v>72</v>
      </c>
      <c r="M234" s="8" t="n">
        <v>28400</v>
      </c>
      <c r="N234" s="8" t="n">
        <v>2708872</v>
      </c>
      <c r="O234" s="5" t="n">
        <v>9</v>
      </c>
      <c r="P234" s="9" t="n">
        <v>1.57</v>
      </c>
      <c r="Q234" s="5" t="n">
        <v>1.25</v>
      </c>
      <c r="R234" s="5" t="s">
        <v>53</v>
      </c>
      <c r="S234" s="5" t="s">
        <v>86</v>
      </c>
      <c r="T234" s="5" t="n">
        <v>61</v>
      </c>
      <c r="U234" s="5" t="s">
        <v>55</v>
      </c>
      <c r="V234" s="5" t="s">
        <v>826</v>
      </c>
    </row>
    <row r="235" customFormat="false" ht="15" hidden="false" customHeight="false" outlineLevel="0" collapsed="false">
      <c r="A235" s="5" t="n">
        <v>234</v>
      </c>
      <c r="B235" s="5" t="s">
        <v>827</v>
      </c>
      <c r="C235" s="6" t="s">
        <v>49</v>
      </c>
      <c r="D235" s="5" t="s">
        <v>448</v>
      </c>
      <c r="E235" s="5" t="s">
        <v>449</v>
      </c>
      <c r="F235" s="5" t="s">
        <v>212</v>
      </c>
      <c r="G235" s="5" t="s">
        <v>828</v>
      </c>
      <c r="H235" s="5" t="s">
        <v>699</v>
      </c>
      <c r="I235" s="5" t="s">
        <v>700</v>
      </c>
      <c r="J235" s="7" t="n">
        <v>4223</v>
      </c>
      <c r="K235" s="8" t="n">
        <v>3120</v>
      </c>
      <c r="L235" s="8" t="n">
        <v>56</v>
      </c>
      <c r="M235" s="8" t="n">
        <v>7479.91</v>
      </c>
      <c r="N235" s="8" t="n">
        <v>273123</v>
      </c>
      <c r="O235" s="5" t="n">
        <v>65.1</v>
      </c>
      <c r="P235" s="9" t="n">
        <v>15.46</v>
      </c>
      <c r="Q235" s="5" t="n">
        <v>1.12</v>
      </c>
      <c r="R235" s="5" t="s">
        <v>53</v>
      </c>
      <c r="S235" s="5" t="s">
        <v>375</v>
      </c>
      <c r="T235" s="5" t="n">
        <v>125</v>
      </c>
      <c r="U235" s="5" t="s">
        <v>80</v>
      </c>
      <c r="V235" s="5" t="s">
        <v>829</v>
      </c>
    </row>
    <row r="236" customFormat="false" ht="15" hidden="false" customHeight="false" outlineLevel="0" collapsed="false">
      <c r="A236" s="5" t="n">
        <v>235</v>
      </c>
      <c r="B236" s="5" t="s">
        <v>830</v>
      </c>
      <c r="C236" s="6" t="s">
        <v>49</v>
      </c>
      <c r="D236" s="5" t="s">
        <v>385</v>
      </c>
      <c r="E236" s="5" t="s">
        <v>386</v>
      </c>
      <c r="F236" s="5" t="s">
        <v>76</v>
      </c>
      <c r="G236" s="5" t="s">
        <v>101</v>
      </c>
      <c r="H236" s="5" t="s">
        <v>621</v>
      </c>
      <c r="I236" s="5" t="s">
        <v>94</v>
      </c>
      <c r="J236" s="7" t="n">
        <v>4192</v>
      </c>
      <c r="K236" s="8" t="n">
        <v>2480</v>
      </c>
      <c r="L236" s="8" t="n">
        <v>12</v>
      </c>
      <c r="M236" s="8" t="n">
        <v>36905.75</v>
      </c>
      <c r="N236" s="8" t="n">
        <v>506392</v>
      </c>
      <c r="O236" s="5" t="n">
        <v>37.3</v>
      </c>
      <c r="P236" s="9" t="n">
        <v>8.28</v>
      </c>
      <c r="Q236" s="5" t="n">
        <v>4.75</v>
      </c>
      <c r="R236" s="5" t="s">
        <v>53</v>
      </c>
      <c r="S236" s="5" t="s">
        <v>96</v>
      </c>
      <c r="T236" s="5" t="n">
        <v>33</v>
      </c>
      <c r="U236" s="5" t="s">
        <v>80</v>
      </c>
      <c r="V236" s="5" t="s">
        <v>831</v>
      </c>
    </row>
    <row r="237" customFormat="false" ht="15" hidden="false" customHeight="false" outlineLevel="0" collapsed="false">
      <c r="A237" s="5" t="n">
        <v>236</v>
      </c>
      <c r="B237" s="5" t="s">
        <v>832</v>
      </c>
      <c r="C237" s="6" t="s">
        <v>49</v>
      </c>
      <c r="D237" s="5" t="s">
        <v>833</v>
      </c>
      <c r="E237" s="5" t="s">
        <v>834</v>
      </c>
      <c r="F237" s="5"/>
      <c r="G237" s="5"/>
      <c r="H237" s="5" t="s">
        <v>835</v>
      </c>
      <c r="I237" s="5"/>
      <c r="J237" s="7" t="n">
        <v>4180</v>
      </c>
      <c r="K237" s="8" t="n">
        <v>11700</v>
      </c>
      <c r="L237" s="8" t="n">
        <v>28</v>
      </c>
      <c r="M237" s="8" t="n">
        <v>130279</v>
      </c>
      <c r="N237" s="8" t="n">
        <v>1696056</v>
      </c>
      <c r="O237" s="5" t="n">
        <v>8.6</v>
      </c>
      <c r="P237" s="9" t="n">
        <v>2.46</v>
      </c>
      <c r="Q237" s="5" t="n">
        <v>2.85</v>
      </c>
      <c r="R237" s="5" t="s">
        <v>53</v>
      </c>
      <c r="S237" s="5" t="s">
        <v>71</v>
      </c>
      <c r="T237" s="5" t="n">
        <v>153</v>
      </c>
      <c r="U237" s="5" t="s">
        <v>55</v>
      </c>
      <c r="V237" s="5" t="s">
        <v>836</v>
      </c>
    </row>
    <row r="238" customFormat="false" ht="15" hidden="false" customHeight="false" outlineLevel="0" collapsed="false">
      <c r="A238" s="5" t="n">
        <v>237</v>
      </c>
      <c r="B238" s="5" t="s">
        <v>837</v>
      </c>
      <c r="C238" s="6" t="s">
        <v>49</v>
      </c>
      <c r="D238" s="5" t="s">
        <v>170</v>
      </c>
      <c r="E238" s="5" t="s">
        <v>171</v>
      </c>
      <c r="F238" s="5" t="s">
        <v>76</v>
      </c>
      <c r="G238" s="5" t="s">
        <v>101</v>
      </c>
      <c r="H238" s="5" t="s">
        <v>115</v>
      </c>
      <c r="I238" s="5" t="s">
        <v>94</v>
      </c>
      <c r="J238" s="7" t="n">
        <v>4163</v>
      </c>
      <c r="K238" s="8" t="n">
        <v>5280</v>
      </c>
      <c r="L238" s="8" t="n">
        <v>41</v>
      </c>
      <c r="M238" s="8" t="n">
        <v>52085.37</v>
      </c>
      <c r="N238" s="8" t="n">
        <v>1503051</v>
      </c>
      <c r="O238" s="5" t="n">
        <v>35.4</v>
      </c>
      <c r="P238" s="9" t="n">
        <v>2.77</v>
      </c>
      <c r="Q238" s="5" t="n">
        <v>7.35</v>
      </c>
      <c r="R238" s="5" t="s">
        <v>95</v>
      </c>
      <c r="S238" s="5" t="s">
        <v>103</v>
      </c>
      <c r="T238" s="5" t="n">
        <v>65</v>
      </c>
      <c r="U238" s="5" t="s">
        <v>80</v>
      </c>
      <c r="V238" s="5" t="s">
        <v>838</v>
      </c>
    </row>
    <row r="239" customFormat="false" ht="15" hidden="false" customHeight="false" outlineLevel="0" collapsed="false">
      <c r="A239" s="5" t="n">
        <v>238</v>
      </c>
      <c r="B239" s="5" t="s">
        <v>839</v>
      </c>
      <c r="C239" s="6" t="s">
        <v>49</v>
      </c>
      <c r="D239" s="5" t="s">
        <v>113</v>
      </c>
      <c r="E239" s="5" t="s">
        <v>114</v>
      </c>
      <c r="F239" s="5" t="s">
        <v>76</v>
      </c>
      <c r="G239" s="5" t="s">
        <v>101</v>
      </c>
      <c r="H239" s="5" t="s">
        <v>581</v>
      </c>
      <c r="I239" s="5" t="s">
        <v>94</v>
      </c>
      <c r="J239" s="7" t="n">
        <v>4147</v>
      </c>
      <c r="K239" s="8" t="n">
        <v>4210</v>
      </c>
      <c r="L239" s="8" t="n">
        <v>63</v>
      </c>
      <c r="M239" s="8" t="n">
        <v>23326.56</v>
      </c>
      <c r="N239" s="8" t="n">
        <v>612975</v>
      </c>
      <c r="O239" s="5" t="n">
        <v>182.3</v>
      </c>
      <c r="P239" s="9" t="n">
        <v>6.76</v>
      </c>
      <c r="Q239" s="5" t="n">
        <v>1.94</v>
      </c>
      <c r="R239" s="5" t="s">
        <v>53</v>
      </c>
      <c r="S239" s="5" t="s">
        <v>103</v>
      </c>
      <c r="T239" s="5" t="n">
        <v>65</v>
      </c>
      <c r="U239" s="5" t="s">
        <v>80</v>
      </c>
      <c r="V239" s="5" t="s">
        <v>840</v>
      </c>
    </row>
    <row r="240" customFormat="false" ht="15" hidden="false" customHeight="false" outlineLevel="0" collapsed="false">
      <c r="A240" s="5" t="n">
        <v>239</v>
      </c>
      <c r="B240" s="5" t="s">
        <v>841</v>
      </c>
      <c r="C240" s="6" t="s">
        <v>49</v>
      </c>
      <c r="D240" s="5" t="s">
        <v>448</v>
      </c>
      <c r="E240" s="5" t="s">
        <v>449</v>
      </c>
      <c r="F240" s="5" t="s">
        <v>76</v>
      </c>
      <c r="G240" s="5" t="s">
        <v>101</v>
      </c>
      <c r="H240" s="5" t="s">
        <v>121</v>
      </c>
      <c r="I240" s="5" t="s">
        <v>109</v>
      </c>
      <c r="J240" s="7" t="n">
        <v>4122</v>
      </c>
      <c r="K240" s="8" t="n">
        <v>31700</v>
      </c>
      <c r="L240" s="8" t="n">
        <v>140</v>
      </c>
      <c r="M240" s="8" t="n">
        <v>22486.6</v>
      </c>
      <c r="N240" s="8" t="n">
        <v>941187</v>
      </c>
      <c r="O240" s="5" t="n">
        <v>30.2</v>
      </c>
      <c r="P240" s="9" t="n">
        <v>4.38</v>
      </c>
      <c r="Q240" s="5" t="n">
        <v>0.22</v>
      </c>
      <c r="R240" s="5" t="s">
        <v>95</v>
      </c>
      <c r="S240" s="5" t="s">
        <v>79</v>
      </c>
      <c r="T240" s="5" t="n">
        <v>96</v>
      </c>
      <c r="U240" s="5" t="s">
        <v>80</v>
      </c>
      <c r="V240" s="5" t="s">
        <v>842</v>
      </c>
    </row>
    <row r="241" customFormat="false" ht="15" hidden="false" customHeight="false" outlineLevel="0" collapsed="false">
      <c r="A241" s="5" t="n">
        <v>240</v>
      </c>
      <c r="B241" s="5" t="s">
        <v>843</v>
      </c>
      <c r="C241" s="6" t="s">
        <v>49</v>
      </c>
      <c r="D241" s="5" t="s">
        <v>844</v>
      </c>
      <c r="E241" s="5" t="s">
        <v>845</v>
      </c>
      <c r="F241" s="5"/>
      <c r="G241" s="5"/>
      <c r="H241" s="5" t="s">
        <v>846</v>
      </c>
      <c r="I241" s="5"/>
      <c r="J241" s="7" t="n">
        <v>4109</v>
      </c>
      <c r="K241" s="8" t="n">
        <v>4650</v>
      </c>
      <c r="L241" s="8" t="n">
        <v>66</v>
      </c>
      <c r="M241" s="8" t="n">
        <v>46896</v>
      </c>
      <c r="N241" s="8" t="n">
        <v>2380418</v>
      </c>
      <c r="O241" s="5" t="n">
        <v>20.1</v>
      </c>
      <c r="P241" s="9" t="n">
        <v>1.73</v>
      </c>
      <c r="Q241" s="5" t="n">
        <v>1.41</v>
      </c>
      <c r="R241" s="5" t="s">
        <v>53</v>
      </c>
      <c r="S241" s="5" t="s">
        <v>71</v>
      </c>
      <c r="T241" s="5" t="n">
        <v>153</v>
      </c>
      <c r="U241" s="5" t="s">
        <v>55</v>
      </c>
      <c r="V241" s="5" t="s">
        <v>847</v>
      </c>
    </row>
    <row r="242" customFormat="false" ht="15" hidden="false" customHeight="false" outlineLevel="0" collapsed="false">
      <c r="A242" s="5" t="n">
        <v>241</v>
      </c>
      <c r="B242" s="5" t="s">
        <v>848</v>
      </c>
      <c r="C242" s="6" t="s">
        <v>49</v>
      </c>
      <c r="D242" s="5" t="s">
        <v>187</v>
      </c>
      <c r="E242" s="5" t="s">
        <v>188</v>
      </c>
      <c r="F242" s="5" t="s">
        <v>76</v>
      </c>
      <c r="G242" s="5" t="s">
        <v>101</v>
      </c>
      <c r="H242" s="5" t="s">
        <v>183</v>
      </c>
      <c r="I242" s="5" t="s">
        <v>122</v>
      </c>
      <c r="J242" s="7" t="n">
        <v>4101</v>
      </c>
      <c r="K242" s="8" t="n">
        <v>5800</v>
      </c>
      <c r="L242" s="8" t="n">
        <v>102</v>
      </c>
      <c r="M242" s="8" t="n">
        <v>9801.54</v>
      </c>
      <c r="N242" s="8" t="n">
        <v>337331</v>
      </c>
      <c r="O242" s="5" t="n">
        <v>131.6</v>
      </c>
      <c r="P242" s="9" t="n">
        <v>12.16</v>
      </c>
      <c r="Q242" s="5" t="n">
        <v>1.94</v>
      </c>
      <c r="R242" s="5" t="s">
        <v>95</v>
      </c>
      <c r="S242" s="5" t="s">
        <v>184</v>
      </c>
      <c r="T242" s="5" t="n">
        <v>64</v>
      </c>
      <c r="U242" s="5" t="s">
        <v>80</v>
      </c>
      <c r="V242" s="5" t="s">
        <v>849</v>
      </c>
    </row>
    <row r="243" customFormat="false" ht="15" hidden="false" customHeight="false" outlineLevel="0" collapsed="false">
      <c r="A243" s="5" t="n">
        <v>242</v>
      </c>
      <c r="B243" s="5" t="s">
        <v>850</v>
      </c>
      <c r="C243" s="6" t="s">
        <v>49</v>
      </c>
      <c r="D243" s="5" t="s">
        <v>851</v>
      </c>
      <c r="E243" s="5" t="s">
        <v>852</v>
      </c>
      <c r="F243" s="5" t="s">
        <v>76</v>
      </c>
      <c r="G243" s="5" t="s">
        <v>450</v>
      </c>
      <c r="H243" s="5" t="s">
        <v>93</v>
      </c>
      <c r="I243" s="5" t="s">
        <v>94</v>
      </c>
      <c r="J243" s="7" t="n">
        <v>4093</v>
      </c>
      <c r="K243" s="8" t="n">
        <v>5220</v>
      </c>
      <c r="L243" s="8" t="n">
        <v>97</v>
      </c>
      <c r="M243" s="8" t="n">
        <v>14176.31</v>
      </c>
      <c r="N243" s="8" t="n">
        <v>614483</v>
      </c>
      <c r="O243" s="5" t="n">
        <v>37.6</v>
      </c>
      <c r="P243" s="9" t="n">
        <v>6.66</v>
      </c>
      <c r="Q243" s="5" t="n">
        <v>1.88</v>
      </c>
      <c r="R243" s="5" t="s">
        <v>53</v>
      </c>
      <c r="S243" s="5" t="s">
        <v>79</v>
      </c>
      <c r="T243" s="5" t="n">
        <v>96</v>
      </c>
      <c r="U243" s="5" t="s">
        <v>80</v>
      </c>
      <c r="V243" s="5" t="s">
        <v>853</v>
      </c>
    </row>
    <row r="244" customFormat="false" ht="15" hidden="false" customHeight="false" outlineLevel="0" collapsed="false">
      <c r="A244" s="5" t="n">
        <v>243</v>
      </c>
      <c r="B244" s="5" t="s">
        <v>854</v>
      </c>
      <c r="C244" s="6" t="s">
        <v>49</v>
      </c>
      <c r="D244" s="5" t="s">
        <v>448</v>
      </c>
      <c r="E244" s="5" t="s">
        <v>449</v>
      </c>
      <c r="F244" s="5" t="s">
        <v>212</v>
      </c>
      <c r="G244" s="5"/>
      <c r="H244" s="5" t="s">
        <v>121</v>
      </c>
      <c r="I244" s="5" t="s">
        <v>109</v>
      </c>
      <c r="J244" s="7" t="n">
        <v>4089</v>
      </c>
      <c r="K244" s="8" t="n">
        <v>44600</v>
      </c>
      <c r="L244" s="8" t="n">
        <v>324</v>
      </c>
      <c r="M244" s="8" t="n">
        <v>16170.42</v>
      </c>
      <c r="N244" s="8" t="n">
        <v>1267112</v>
      </c>
      <c r="O244" s="5" t="n">
        <v>27.8</v>
      </c>
      <c r="P244" s="9" t="n">
        <v>3.23</v>
      </c>
      <c r="Q244" s="5" t="n">
        <v>1</v>
      </c>
      <c r="R244" s="5" t="s">
        <v>95</v>
      </c>
      <c r="S244" s="5" t="s">
        <v>375</v>
      </c>
      <c r="T244" s="5" t="n">
        <v>125</v>
      </c>
      <c r="U244" s="5" t="s">
        <v>80</v>
      </c>
      <c r="V244" s="5" t="s">
        <v>855</v>
      </c>
    </row>
    <row r="245" customFormat="false" ht="15" hidden="false" customHeight="false" outlineLevel="0" collapsed="false">
      <c r="A245" s="5" t="n">
        <v>244</v>
      </c>
      <c r="B245" s="5" t="s">
        <v>856</v>
      </c>
      <c r="C245" s="6" t="s">
        <v>49</v>
      </c>
      <c r="D245" s="5" t="s">
        <v>385</v>
      </c>
      <c r="E245" s="5" t="s">
        <v>386</v>
      </c>
      <c r="F245" s="5" t="s">
        <v>76</v>
      </c>
      <c r="G245" s="5" t="s">
        <v>101</v>
      </c>
      <c r="H245" s="5" t="s">
        <v>621</v>
      </c>
      <c r="I245" s="5" t="s">
        <v>109</v>
      </c>
      <c r="J245" s="7" t="n">
        <v>4084</v>
      </c>
      <c r="K245" s="8" t="n">
        <v>7890</v>
      </c>
      <c r="L245" s="8" t="n">
        <v>61</v>
      </c>
      <c r="M245" s="8" t="n">
        <v>30488.1</v>
      </c>
      <c r="N245" s="8" t="n">
        <v>892769</v>
      </c>
      <c r="O245" s="5" t="n">
        <v>25.8</v>
      </c>
      <c r="P245" s="9" t="n">
        <v>4.58</v>
      </c>
      <c r="Q245" s="5" t="n">
        <v>0.71</v>
      </c>
      <c r="R245" s="5" t="s">
        <v>53</v>
      </c>
      <c r="S245" s="5" t="s">
        <v>116</v>
      </c>
      <c r="T245" s="5" t="n">
        <v>126</v>
      </c>
      <c r="U245" s="5" t="s">
        <v>80</v>
      </c>
      <c r="V245" s="5" t="s">
        <v>857</v>
      </c>
    </row>
    <row r="246" customFormat="false" ht="15" hidden="false" customHeight="false" outlineLevel="0" collapsed="false">
      <c r="A246" s="5" t="n">
        <v>245</v>
      </c>
      <c r="B246" s="5" t="s">
        <v>858</v>
      </c>
      <c r="C246" s="6" t="s">
        <v>49</v>
      </c>
      <c r="D246" s="5" t="s">
        <v>408</v>
      </c>
      <c r="E246" s="5" t="s">
        <v>409</v>
      </c>
      <c r="F246" s="5" t="s">
        <v>76</v>
      </c>
      <c r="G246" s="5" t="s">
        <v>101</v>
      </c>
      <c r="H246" s="5" t="s">
        <v>93</v>
      </c>
      <c r="I246" s="5" t="s">
        <v>94</v>
      </c>
      <c r="J246" s="7" t="n">
        <v>4064</v>
      </c>
      <c r="K246" s="8" t="n">
        <v>2850</v>
      </c>
      <c r="L246" s="8" t="n">
        <v>51</v>
      </c>
      <c r="M246" s="8" t="n">
        <v>16429.88</v>
      </c>
      <c r="N246" s="8" t="n">
        <v>679786</v>
      </c>
      <c r="O246" s="5" t="n">
        <v>29.7</v>
      </c>
      <c r="P246" s="9" t="n">
        <v>5.98</v>
      </c>
      <c r="Q246" s="5" t="n">
        <v>0.56</v>
      </c>
      <c r="R246" s="5" t="s">
        <v>95</v>
      </c>
      <c r="S246" s="5" t="s">
        <v>165</v>
      </c>
      <c r="T246" s="5" t="n">
        <v>95</v>
      </c>
      <c r="U246" s="5" t="s">
        <v>80</v>
      </c>
      <c r="V246" s="5" t="s">
        <v>859</v>
      </c>
    </row>
    <row r="247" customFormat="false" ht="15" hidden="false" customHeight="false" outlineLevel="0" collapsed="false">
      <c r="A247" s="5" t="n">
        <v>246</v>
      </c>
      <c r="B247" s="5" t="s">
        <v>860</v>
      </c>
      <c r="C247" s="6" t="s">
        <v>49</v>
      </c>
      <c r="D247" s="5" t="s">
        <v>99</v>
      </c>
      <c r="E247" s="5" t="s">
        <v>100</v>
      </c>
      <c r="F247" s="5" t="s">
        <v>76</v>
      </c>
      <c r="G247" s="5" t="s">
        <v>101</v>
      </c>
      <c r="H247" s="5" t="s">
        <v>861</v>
      </c>
      <c r="I247" s="5" t="s">
        <v>94</v>
      </c>
      <c r="J247" s="7" t="n">
        <v>4030</v>
      </c>
      <c r="K247" s="8" t="n">
        <v>17500</v>
      </c>
      <c r="L247" s="8" t="n">
        <v>52</v>
      </c>
      <c r="M247" s="8" t="n">
        <v>61060.25</v>
      </c>
      <c r="N247" s="8" t="n">
        <v>619815</v>
      </c>
      <c r="O247" s="5" t="n">
        <v>36.5</v>
      </c>
      <c r="P247" s="9" t="n">
        <v>6.5</v>
      </c>
      <c r="Q247" s="5" t="n">
        <v>0.76</v>
      </c>
      <c r="R247" s="5" t="s">
        <v>95</v>
      </c>
      <c r="S247" s="5" t="s">
        <v>79</v>
      </c>
      <c r="T247" s="5" t="n">
        <v>96</v>
      </c>
      <c r="U247" s="5" t="s">
        <v>80</v>
      </c>
      <c r="V247" s="5" t="s">
        <v>862</v>
      </c>
    </row>
    <row r="248" customFormat="false" ht="15" hidden="false" customHeight="false" outlineLevel="0" collapsed="false">
      <c r="A248" s="5" t="n">
        <v>247</v>
      </c>
      <c r="B248" s="5" t="s">
        <v>863</v>
      </c>
      <c r="C248" s="6" t="s">
        <v>49</v>
      </c>
      <c r="D248" s="5" t="s">
        <v>217</v>
      </c>
      <c r="E248" s="5" t="s">
        <v>218</v>
      </c>
      <c r="F248" s="5" t="s">
        <v>76</v>
      </c>
      <c r="G248" s="5" t="s">
        <v>101</v>
      </c>
      <c r="H248" s="5" t="s">
        <v>220</v>
      </c>
      <c r="I248" s="5" t="s">
        <v>94</v>
      </c>
      <c r="J248" s="7" t="n">
        <v>4015</v>
      </c>
      <c r="K248" s="8" t="n">
        <v>16200</v>
      </c>
      <c r="L248" s="8" t="n">
        <v>23</v>
      </c>
      <c r="M248" s="8" t="n">
        <v>109965.91</v>
      </c>
      <c r="N248" s="8" t="n">
        <v>1203281</v>
      </c>
      <c r="O248" s="5" t="n">
        <v>20.6</v>
      </c>
      <c r="P248" s="9" t="n">
        <v>3.34</v>
      </c>
      <c r="Q248" s="5" t="n">
        <v>1.2</v>
      </c>
      <c r="R248" s="5" t="s">
        <v>53</v>
      </c>
      <c r="S248" s="5" t="s">
        <v>103</v>
      </c>
      <c r="T248" s="5" t="n">
        <v>65</v>
      </c>
      <c r="U248" s="5" t="s">
        <v>80</v>
      </c>
      <c r="V248" s="5" t="s">
        <v>864</v>
      </c>
    </row>
    <row r="249" customFormat="false" ht="15" hidden="false" customHeight="false" outlineLevel="0" collapsed="false">
      <c r="A249" s="5" t="n">
        <v>248</v>
      </c>
      <c r="B249" s="5" t="s">
        <v>865</v>
      </c>
      <c r="C249" s="6" t="s">
        <v>49</v>
      </c>
      <c r="D249" s="5" t="s">
        <v>833</v>
      </c>
      <c r="E249" s="5" t="s">
        <v>834</v>
      </c>
      <c r="F249" s="5" t="s">
        <v>76</v>
      </c>
      <c r="G249" s="5"/>
      <c r="H249" s="5" t="s">
        <v>360</v>
      </c>
      <c r="I249" s="5" t="s">
        <v>78</v>
      </c>
      <c r="J249" s="7" t="n">
        <v>3993</v>
      </c>
      <c r="K249" s="8" t="n">
        <v>16600</v>
      </c>
      <c r="L249" s="8" t="n">
        <v>21</v>
      </c>
      <c r="M249" s="8" t="n">
        <v>128168.42</v>
      </c>
      <c r="N249" s="8" t="n">
        <v>1942465</v>
      </c>
      <c r="O249" s="5" t="n">
        <v>7.5</v>
      </c>
      <c r="P249" s="9" t="n">
        <v>2.06</v>
      </c>
      <c r="Q249" s="5" t="n">
        <v>1.2</v>
      </c>
      <c r="R249" s="5" t="s">
        <v>53</v>
      </c>
      <c r="S249" s="5" t="s">
        <v>165</v>
      </c>
      <c r="T249" s="5" t="n">
        <v>95</v>
      </c>
      <c r="U249" s="5" t="s">
        <v>80</v>
      </c>
      <c r="V249" s="5" t="s">
        <v>866</v>
      </c>
    </row>
    <row r="250" customFormat="false" ht="15" hidden="false" customHeight="false" outlineLevel="0" collapsed="false">
      <c r="A250" s="5" t="n">
        <v>249</v>
      </c>
      <c r="B250" s="5" t="s">
        <v>867</v>
      </c>
      <c r="C250" s="6" t="s">
        <v>49</v>
      </c>
      <c r="D250" s="5" t="s">
        <v>423</v>
      </c>
      <c r="E250" s="5" t="s">
        <v>424</v>
      </c>
      <c r="F250" s="5" t="s">
        <v>76</v>
      </c>
      <c r="G250" s="5" t="s">
        <v>101</v>
      </c>
      <c r="H250" s="5" t="s">
        <v>316</v>
      </c>
      <c r="I250" s="5" t="s">
        <v>94</v>
      </c>
      <c r="J250" s="7" t="n">
        <v>3986</v>
      </c>
      <c r="K250" s="8" t="n">
        <v>11800</v>
      </c>
      <c r="L250" s="8" t="n">
        <v>127</v>
      </c>
      <c r="M250" s="8" t="n">
        <v>42611.78</v>
      </c>
      <c r="N250" s="8" t="n">
        <v>1574502</v>
      </c>
      <c r="O250" s="5" t="n">
        <v>12.9</v>
      </c>
      <c r="P250" s="9" t="n">
        <v>2.53</v>
      </c>
      <c r="Q250" s="5" t="n">
        <v>0.31</v>
      </c>
      <c r="R250" s="5" t="s">
        <v>53</v>
      </c>
      <c r="S250" s="5" t="s">
        <v>116</v>
      </c>
      <c r="T250" s="5" t="n">
        <v>126</v>
      </c>
      <c r="U250" s="5" t="s">
        <v>80</v>
      </c>
      <c r="V250" s="5" t="s">
        <v>868</v>
      </c>
    </row>
    <row r="251" customFormat="false" ht="15" hidden="false" customHeight="false" outlineLevel="0" collapsed="false">
      <c r="A251" s="5" t="n">
        <v>250</v>
      </c>
      <c r="B251" s="5" t="s">
        <v>869</v>
      </c>
      <c r="C251" s="6" t="s">
        <v>49</v>
      </c>
      <c r="D251" s="5" t="s">
        <v>554</v>
      </c>
      <c r="E251" s="5" t="s">
        <v>555</v>
      </c>
      <c r="F251" s="5" t="s">
        <v>76</v>
      </c>
      <c r="G251" s="5" t="s">
        <v>309</v>
      </c>
      <c r="H251" s="5" t="s">
        <v>93</v>
      </c>
      <c r="I251" s="5" t="s">
        <v>94</v>
      </c>
      <c r="J251" s="7" t="n">
        <v>3971</v>
      </c>
      <c r="K251" s="8" t="n">
        <v>29300</v>
      </c>
      <c r="L251" s="8" t="n">
        <v>58</v>
      </c>
      <c r="M251" s="8" t="n">
        <v>97644.83</v>
      </c>
      <c r="N251" s="8" t="n">
        <v>1207804</v>
      </c>
      <c r="O251" s="5" t="n">
        <v>25.8</v>
      </c>
      <c r="P251" s="9" t="n">
        <v>3.29</v>
      </c>
      <c r="Q251" s="5" t="n">
        <v>2.8</v>
      </c>
      <c r="R251" s="5" t="s">
        <v>95</v>
      </c>
      <c r="S251" s="5" t="s">
        <v>116</v>
      </c>
      <c r="T251" s="5" t="n">
        <v>126</v>
      </c>
      <c r="U251" s="5" t="s">
        <v>80</v>
      </c>
      <c r="V251" s="5" t="s">
        <v>870</v>
      </c>
    </row>
    <row r="252" customFormat="false" ht="15" hidden="false" customHeight="false" outlineLevel="0" collapsed="false">
      <c r="A252" s="5" t="n">
        <v>251</v>
      </c>
      <c r="B252" s="5" t="s">
        <v>871</v>
      </c>
      <c r="C252" s="6" t="s">
        <v>49</v>
      </c>
      <c r="D252" s="5" t="s">
        <v>89</v>
      </c>
      <c r="E252" s="5" t="s">
        <v>90</v>
      </c>
      <c r="F252" s="5" t="s">
        <v>212</v>
      </c>
      <c r="G252" s="5" t="s">
        <v>213</v>
      </c>
      <c r="H252" s="5" t="s">
        <v>93</v>
      </c>
      <c r="I252" s="5" t="s">
        <v>94</v>
      </c>
      <c r="J252" s="7" t="n">
        <v>3958</v>
      </c>
      <c r="K252" s="8" t="n">
        <v>25400</v>
      </c>
      <c r="L252" s="8" t="n">
        <v>35</v>
      </c>
      <c r="M252" s="8" t="n">
        <v>136137.14</v>
      </c>
      <c r="N252" s="8" t="n">
        <v>2046986</v>
      </c>
      <c r="O252" s="5" t="n">
        <v>55.6</v>
      </c>
      <c r="P252" s="9" t="n">
        <v>1.93</v>
      </c>
      <c r="Q252" s="5" t="n">
        <v>7.3</v>
      </c>
      <c r="R252" s="5" t="s">
        <v>95</v>
      </c>
      <c r="S252" s="5" t="s">
        <v>165</v>
      </c>
      <c r="T252" s="5" t="n">
        <v>95</v>
      </c>
      <c r="U252" s="5" t="s">
        <v>80</v>
      </c>
      <c r="V252" s="5" t="s">
        <v>872</v>
      </c>
    </row>
    <row r="253" customFormat="false" ht="15" hidden="false" customHeight="false" outlineLevel="0" collapsed="false">
      <c r="A253" s="5" t="n">
        <v>252</v>
      </c>
      <c r="B253" s="5" t="s">
        <v>873</v>
      </c>
      <c r="C253" s="6" t="s">
        <v>49</v>
      </c>
      <c r="D253" s="5" t="s">
        <v>874</v>
      </c>
      <c r="E253" s="5" t="s">
        <v>875</v>
      </c>
      <c r="F253" s="5" t="s">
        <v>76</v>
      </c>
      <c r="G253" s="5" t="s">
        <v>101</v>
      </c>
      <c r="H253" s="5" t="s">
        <v>115</v>
      </c>
      <c r="I253" s="5" t="s">
        <v>94</v>
      </c>
      <c r="J253" s="7" t="n">
        <v>3939</v>
      </c>
      <c r="K253" s="8" t="n">
        <v>6510</v>
      </c>
      <c r="L253" s="8" t="n">
        <v>41</v>
      </c>
      <c r="M253" s="8" t="n">
        <v>43469.41</v>
      </c>
      <c r="N253" s="8" t="n">
        <v>1198044</v>
      </c>
      <c r="O253" s="5" t="n">
        <v>15.7</v>
      </c>
      <c r="P253" s="9" t="n">
        <v>3.29</v>
      </c>
      <c r="Q253" s="5" t="n">
        <v>6.18</v>
      </c>
      <c r="R253" s="5" t="s">
        <v>53</v>
      </c>
      <c r="S253" s="5" t="s">
        <v>116</v>
      </c>
      <c r="T253" s="5" t="n">
        <v>126</v>
      </c>
      <c r="U253" s="5" t="s">
        <v>80</v>
      </c>
      <c r="V253" s="5" t="s">
        <v>876</v>
      </c>
    </row>
    <row r="254" customFormat="false" ht="15" hidden="false" customHeight="false" outlineLevel="0" collapsed="false">
      <c r="A254" s="5" t="n">
        <v>253</v>
      </c>
      <c r="B254" s="5" t="s">
        <v>877</v>
      </c>
      <c r="C254" s="6" t="s">
        <v>49</v>
      </c>
      <c r="D254" s="5" t="s">
        <v>196</v>
      </c>
      <c r="E254" s="5" t="s">
        <v>197</v>
      </c>
      <c r="F254" s="5" t="s">
        <v>76</v>
      </c>
      <c r="G254" s="5" t="s">
        <v>101</v>
      </c>
      <c r="H254" s="5" t="s">
        <v>412</v>
      </c>
      <c r="I254" s="5" t="s">
        <v>78</v>
      </c>
      <c r="J254" s="7" t="n">
        <v>3927</v>
      </c>
      <c r="K254" s="8" t="n">
        <v>2580</v>
      </c>
      <c r="L254" s="8" t="n">
        <v>40</v>
      </c>
      <c r="M254" s="8" t="n">
        <v>27175.28</v>
      </c>
      <c r="N254" s="8" t="n">
        <v>818037</v>
      </c>
      <c r="O254" s="5" t="n">
        <v>22.2</v>
      </c>
      <c r="P254" s="9" t="n">
        <v>4.8</v>
      </c>
      <c r="Q254" s="5" t="n">
        <v>0.81</v>
      </c>
      <c r="R254" s="5" t="s">
        <v>53</v>
      </c>
      <c r="S254" s="5" t="s">
        <v>96</v>
      </c>
      <c r="T254" s="5" t="n">
        <v>33</v>
      </c>
      <c r="U254" s="5" t="s">
        <v>80</v>
      </c>
      <c r="V254" s="5" t="s">
        <v>878</v>
      </c>
    </row>
    <row r="255" customFormat="false" ht="15" hidden="false" customHeight="false" outlineLevel="0" collapsed="false">
      <c r="A255" s="5" t="n">
        <v>254</v>
      </c>
      <c r="B255" s="5" t="s">
        <v>879</v>
      </c>
      <c r="C255" s="6" t="s">
        <v>49</v>
      </c>
      <c r="D255" s="5" t="s">
        <v>880</v>
      </c>
      <c r="E255" s="5" t="s">
        <v>881</v>
      </c>
      <c r="F255" s="5" t="s">
        <v>76</v>
      </c>
      <c r="G255" s="5" t="s">
        <v>101</v>
      </c>
      <c r="H255" s="5" t="s">
        <v>882</v>
      </c>
      <c r="I255" s="5" t="s">
        <v>122</v>
      </c>
      <c r="J255" s="7" t="n">
        <v>3912</v>
      </c>
      <c r="K255" s="8" t="n">
        <v>1570</v>
      </c>
      <c r="L255" s="8" t="n">
        <v>61</v>
      </c>
      <c r="M255" s="8" t="n">
        <v>8043.51</v>
      </c>
      <c r="N255" s="8" t="n">
        <v>349913</v>
      </c>
      <c r="O255" s="5" t="n">
        <v>73.6</v>
      </c>
      <c r="P255" s="9" t="n">
        <v>11.18</v>
      </c>
      <c r="Q255" s="5" t="n">
        <v>0.91</v>
      </c>
      <c r="R255" s="5" t="s">
        <v>53</v>
      </c>
      <c r="S255" s="5" t="s">
        <v>184</v>
      </c>
      <c r="T255" s="5" t="n">
        <v>64</v>
      </c>
      <c r="U255" s="5" t="s">
        <v>80</v>
      </c>
      <c r="V255" s="5" t="s">
        <v>883</v>
      </c>
    </row>
    <row r="256" customFormat="false" ht="15" hidden="false" customHeight="false" outlineLevel="0" collapsed="false">
      <c r="A256" s="5" t="n">
        <v>255</v>
      </c>
      <c r="B256" s="5" t="s">
        <v>884</v>
      </c>
      <c r="C256" s="6" t="s">
        <v>49</v>
      </c>
      <c r="D256" s="5" t="s">
        <v>844</v>
      </c>
      <c r="E256" s="5" t="s">
        <v>845</v>
      </c>
      <c r="F256" s="5"/>
      <c r="G256" s="5"/>
      <c r="H256" s="5" t="s">
        <v>885</v>
      </c>
      <c r="I256" s="5"/>
      <c r="J256" s="7" t="n">
        <v>3883</v>
      </c>
      <c r="K256" s="8" t="n">
        <v>4540</v>
      </c>
      <c r="L256" s="8" t="n">
        <v>16</v>
      </c>
      <c r="M256" s="8" t="n">
        <v>224267</v>
      </c>
      <c r="N256" s="8" t="n">
        <v>2946684</v>
      </c>
      <c r="O256" s="5" t="n">
        <v>30.1</v>
      </c>
      <c r="P256" s="9" t="n">
        <v>1.32</v>
      </c>
      <c r="Q256" s="5" t="n">
        <v>7.35</v>
      </c>
      <c r="R256" s="5" t="s">
        <v>95</v>
      </c>
      <c r="S256" s="5" t="s">
        <v>86</v>
      </c>
      <c r="T256" s="5" t="n">
        <v>61</v>
      </c>
      <c r="U256" s="5" t="s">
        <v>55</v>
      </c>
      <c r="V256" s="5" t="s">
        <v>886</v>
      </c>
    </row>
    <row r="257" customFormat="false" ht="15" hidden="false" customHeight="false" outlineLevel="0" collapsed="false">
      <c r="A257" s="5" t="n">
        <v>256</v>
      </c>
      <c r="B257" s="5" t="s">
        <v>887</v>
      </c>
      <c r="C257" s="6" t="s">
        <v>49</v>
      </c>
      <c r="D257" s="5" t="s">
        <v>554</v>
      </c>
      <c r="E257" s="5" t="s">
        <v>555</v>
      </c>
      <c r="F257" s="5" t="s">
        <v>76</v>
      </c>
      <c r="G257" s="5" t="s">
        <v>101</v>
      </c>
      <c r="H257" s="5" t="s">
        <v>93</v>
      </c>
      <c r="I257" s="5" t="s">
        <v>94</v>
      </c>
      <c r="J257" s="7" t="n">
        <v>3874</v>
      </c>
      <c r="K257" s="8" t="n">
        <v>6150</v>
      </c>
      <c r="L257" s="8" t="n">
        <v>102</v>
      </c>
      <c r="M257" s="8" t="n">
        <v>19162.74</v>
      </c>
      <c r="N257" s="8" t="n">
        <v>813192</v>
      </c>
      <c r="O257" s="5" t="n">
        <v>131.9</v>
      </c>
      <c r="P257" s="9" t="n">
        <v>4.76</v>
      </c>
      <c r="Q257" s="5" t="n">
        <v>2.43</v>
      </c>
      <c r="R257" s="5" t="s">
        <v>95</v>
      </c>
      <c r="S257" s="5" t="s">
        <v>79</v>
      </c>
      <c r="T257" s="5" t="n">
        <v>96</v>
      </c>
      <c r="U257" s="5" t="s">
        <v>80</v>
      </c>
      <c r="V257" s="5" t="s">
        <v>888</v>
      </c>
    </row>
    <row r="258" customFormat="false" ht="15" hidden="false" customHeight="false" outlineLevel="0" collapsed="false">
      <c r="A258" s="5" t="n">
        <v>257</v>
      </c>
      <c r="B258" s="5" t="s">
        <v>889</v>
      </c>
      <c r="C258" s="6" t="s">
        <v>49</v>
      </c>
      <c r="D258" s="5" t="s">
        <v>566</v>
      </c>
      <c r="E258" s="5" t="s">
        <v>567</v>
      </c>
      <c r="F258" s="5" t="s">
        <v>76</v>
      </c>
      <c r="G258" s="5" t="s">
        <v>101</v>
      </c>
      <c r="H258" s="5" t="s">
        <v>568</v>
      </c>
      <c r="I258" s="5" t="s">
        <v>290</v>
      </c>
      <c r="J258" s="7" t="n">
        <v>3874</v>
      </c>
      <c r="K258" s="8" t="n">
        <v>4770</v>
      </c>
      <c r="L258" s="8" t="n">
        <v>35</v>
      </c>
      <c r="M258" s="8" t="n">
        <v>89754.29</v>
      </c>
      <c r="N258" s="8" t="n">
        <v>2378565</v>
      </c>
      <c r="O258" s="5" t="n">
        <v>15.7</v>
      </c>
      <c r="P258" s="9" t="n">
        <v>1.63</v>
      </c>
      <c r="Q258" s="5" t="n">
        <v>5.59</v>
      </c>
      <c r="R258" s="5" t="s">
        <v>53</v>
      </c>
      <c r="S258" s="5" t="s">
        <v>96</v>
      </c>
      <c r="T258" s="5" t="n">
        <v>33</v>
      </c>
      <c r="U258" s="5" t="s">
        <v>80</v>
      </c>
      <c r="V258" s="5" t="s">
        <v>890</v>
      </c>
    </row>
    <row r="259" customFormat="false" ht="15" hidden="false" customHeight="false" outlineLevel="0" collapsed="false">
      <c r="A259" s="5" t="n">
        <v>258</v>
      </c>
      <c r="B259" s="5" t="s">
        <v>891</v>
      </c>
      <c r="C259" s="6" t="s">
        <v>49</v>
      </c>
      <c r="D259" s="5" t="s">
        <v>217</v>
      </c>
      <c r="E259" s="5" t="s">
        <v>218</v>
      </c>
      <c r="F259" s="5" t="s">
        <v>76</v>
      </c>
      <c r="G259" s="5" t="s">
        <v>101</v>
      </c>
      <c r="H259" s="5" t="s">
        <v>415</v>
      </c>
      <c r="I259" s="5" t="s">
        <v>109</v>
      </c>
      <c r="J259" s="7" t="n">
        <v>3869</v>
      </c>
      <c r="K259" s="8" t="n">
        <v>6090</v>
      </c>
      <c r="L259" s="8" t="n">
        <v>133</v>
      </c>
      <c r="M259" s="8" t="n">
        <v>12744.47</v>
      </c>
      <c r="N259" s="8" t="n">
        <v>950875</v>
      </c>
      <c r="O259" s="5" t="n">
        <v>16.5</v>
      </c>
      <c r="P259" s="9" t="n">
        <v>4.07</v>
      </c>
      <c r="Q259" s="5" t="n">
        <v>1.03</v>
      </c>
      <c r="R259" s="5" t="s">
        <v>95</v>
      </c>
      <c r="S259" s="5" t="s">
        <v>116</v>
      </c>
      <c r="T259" s="5" t="n">
        <v>126</v>
      </c>
      <c r="U259" s="5" t="s">
        <v>80</v>
      </c>
      <c r="V259" s="5" t="s">
        <v>892</v>
      </c>
    </row>
    <row r="260" customFormat="false" ht="15" hidden="false" customHeight="false" outlineLevel="0" collapsed="false">
      <c r="A260" s="5" t="n">
        <v>259</v>
      </c>
      <c r="B260" s="5" t="s">
        <v>893</v>
      </c>
      <c r="C260" s="6" t="s">
        <v>49</v>
      </c>
      <c r="D260" s="5" t="s">
        <v>125</v>
      </c>
      <c r="E260" s="5" t="s">
        <v>126</v>
      </c>
      <c r="F260" s="5" t="s">
        <v>212</v>
      </c>
      <c r="G260" s="5" t="s">
        <v>101</v>
      </c>
      <c r="H260" s="5" t="s">
        <v>102</v>
      </c>
      <c r="I260" s="5" t="s">
        <v>94</v>
      </c>
      <c r="J260" s="7" t="n">
        <v>3849</v>
      </c>
      <c r="K260" s="8" t="n">
        <v>25100</v>
      </c>
      <c r="L260" s="8" t="n">
        <v>35</v>
      </c>
      <c r="M260" s="8" t="n">
        <v>117136.97</v>
      </c>
      <c r="N260" s="8" t="n">
        <v>3107991</v>
      </c>
      <c r="O260" s="5" t="n">
        <v>12.5</v>
      </c>
      <c r="P260" s="9" t="n">
        <v>1.24</v>
      </c>
      <c r="Q260" s="5" t="n">
        <v>0.55</v>
      </c>
      <c r="R260" s="5" t="s">
        <v>53</v>
      </c>
      <c r="S260" s="5" t="s">
        <v>375</v>
      </c>
      <c r="T260" s="5" t="n">
        <v>125</v>
      </c>
      <c r="U260" s="5" t="s">
        <v>80</v>
      </c>
      <c r="V260" s="5" t="s">
        <v>894</v>
      </c>
    </row>
    <row r="261" customFormat="false" ht="15" hidden="false" customHeight="false" outlineLevel="0" collapsed="false">
      <c r="A261" s="5" t="n">
        <v>260</v>
      </c>
      <c r="B261" s="5" t="s">
        <v>895</v>
      </c>
      <c r="C261" s="6" t="s">
        <v>49</v>
      </c>
      <c r="D261" s="5" t="s">
        <v>399</v>
      </c>
      <c r="E261" s="5" t="s">
        <v>400</v>
      </c>
      <c r="F261" s="5" t="s">
        <v>76</v>
      </c>
      <c r="G261" s="5" t="s">
        <v>101</v>
      </c>
      <c r="H261" s="5" t="s">
        <v>401</v>
      </c>
      <c r="I261" s="5" t="s">
        <v>122</v>
      </c>
      <c r="J261" s="7" t="n">
        <v>3844</v>
      </c>
      <c r="K261" s="8" t="n">
        <v>2080</v>
      </c>
      <c r="L261" s="8" t="n">
        <v>44</v>
      </c>
      <c r="M261" s="8" t="n">
        <v>15484.16</v>
      </c>
      <c r="N261" s="8" t="n">
        <v>676935</v>
      </c>
      <c r="O261" s="5" t="n">
        <v>757.8</v>
      </c>
      <c r="P261" s="9" t="n">
        <v>5.68</v>
      </c>
      <c r="Q261" s="5" t="n">
        <v>2.94</v>
      </c>
      <c r="R261" s="5" t="s">
        <v>95</v>
      </c>
      <c r="S261" s="5" t="s">
        <v>184</v>
      </c>
      <c r="T261" s="5" t="n">
        <v>64</v>
      </c>
      <c r="U261" s="5" t="s">
        <v>80</v>
      </c>
      <c r="V261" s="5" t="s">
        <v>896</v>
      </c>
    </row>
    <row r="262" customFormat="false" ht="15" hidden="false" customHeight="false" outlineLevel="0" collapsed="false">
      <c r="A262" s="5" t="n">
        <v>261</v>
      </c>
      <c r="B262" s="5" t="s">
        <v>897</v>
      </c>
      <c r="C262" s="6" t="s">
        <v>49</v>
      </c>
      <c r="D262" s="5" t="s">
        <v>554</v>
      </c>
      <c r="E262" s="5" t="s">
        <v>555</v>
      </c>
      <c r="F262" s="5" t="s">
        <v>76</v>
      </c>
      <c r="G262" s="5"/>
      <c r="H262" s="5" t="s">
        <v>93</v>
      </c>
      <c r="I262" s="5" t="s">
        <v>94</v>
      </c>
      <c r="J262" s="7" t="n">
        <v>3823</v>
      </c>
      <c r="K262" s="8" t="n">
        <v>7940</v>
      </c>
      <c r="L262" s="8" t="n">
        <v>105</v>
      </c>
      <c r="M262" s="8" t="n">
        <v>25997.81</v>
      </c>
      <c r="N262" s="8" t="n">
        <v>1365447</v>
      </c>
      <c r="O262" s="5" t="n">
        <v>20.8</v>
      </c>
      <c r="P262" s="9" t="n">
        <v>2.8</v>
      </c>
      <c r="Q262" s="5" t="n">
        <v>1.88</v>
      </c>
      <c r="R262" s="5" t="s">
        <v>53</v>
      </c>
      <c r="S262" s="5" t="s">
        <v>116</v>
      </c>
      <c r="T262" s="5" t="n">
        <v>126</v>
      </c>
      <c r="U262" s="5" t="s">
        <v>80</v>
      </c>
      <c r="V262" s="5" t="s">
        <v>898</v>
      </c>
    </row>
    <row r="263" customFormat="false" ht="15" hidden="false" customHeight="false" outlineLevel="0" collapsed="false">
      <c r="A263" s="5" t="n">
        <v>262</v>
      </c>
      <c r="B263" s="5" t="s">
        <v>899</v>
      </c>
      <c r="C263" s="6" t="s">
        <v>49</v>
      </c>
      <c r="D263" s="5" t="s">
        <v>575</v>
      </c>
      <c r="E263" s="5" t="s">
        <v>576</v>
      </c>
      <c r="F263" s="5" t="s">
        <v>212</v>
      </c>
      <c r="G263" s="5" t="s">
        <v>900</v>
      </c>
      <c r="H263" s="5" t="s">
        <v>412</v>
      </c>
      <c r="I263" s="5" t="s">
        <v>78</v>
      </c>
      <c r="J263" s="7" t="n">
        <v>3820</v>
      </c>
      <c r="K263" s="8" t="n">
        <v>6350</v>
      </c>
      <c r="L263" s="8" t="n">
        <v>44</v>
      </c>
      <c r="M263" s="8" t="n">
        <v>62675.32</v>
      </c>
      <c r="N263" s="8" t="n">
        <v>2926380</v>
      </c>
      <c r="O263" s="5" t="n">
        <v>43</v>
      </c>
      <c r="P263" s="9" t="n">
        <v>1.31</v>
      </c>
      <c r="Q263" s="5" t="n">
        <v>3.38</v>
      </c>
      <c r="R263" s="5" t="s">
        <v>53</v>
      </c>
      <c r="S263" s="5" t="s">
        <v>96</v>
      </c>
      <c r="T263" s="5" t="n">
        <v>33</v>
      </c>
      <c r="U263" s="5" t="s">
        <v>80</v>
      </c>
      <c r="V263" s="5" t="s">
        <v>901</v>
      </c>
    </row>
    <row r="264" customFormat="false" ht="15" hidden="false" customHeight="false" outlineLevel="0" collapsed="false">
      <c r="A264" s="5" t="n">
        <v>263</v>
      </c>
      <c r="B264" s="5" t="s">
        <v>902</v>
      </c>
      <c r="C264" s="6" t="s">
        <v>49</v>
      </c>
      <c r="D264" s="5" t="s">
        <v>903</v>
      </c>
      <c r="E264" s="5" t="s">
        <v>904</v>
      </c>
      <c r="F264" s="5" t="s">
        <v>76</v>
      </c>
      <c r="G264" s="5" t="s">
        <v>396</v>
      </c>
      <c r="H264" s="5" t="s">
        <v>905</v>
      </c>
      <c r="I264" s="5" t="s">
        <v>94</v>
      </c>
      <c r="J264" s="7" t="n">
        <v>3802</v>
      </c>
      <c r="K264" s="8" t="n">
        <v>6340</v>
      </c>
      <c r="L264" s="8" t="n">
        <v>47</v>
      </c>
      <c r="M264" s="8" t="n">
        <v>24133.02</v>
      </c>
      <c r="N264" s="8" t="n">
        <v>771314</v>
      </c>
      <c r="O264" s="5" t="n">
        <v>25.1</v>
      </c>
      <c r="P264" s="9" t="n">
        <v>4.93</v>
      </c>
      <c r="Q264" s="5" t="n">
        <v>1.09</v>
      </c>
      <c r="R264" s="5" t="s">
        <v>53</v>
      </c>
      <c r="S264" s="5" t="s">
        <v>165</v>
      </c>
      <c r="T264" s="5" t="n">
        <v>95</v>
      </c>
      <c r="U264" s="5" t="s">
        <v>80</v>
      </c>
      <c r="V264" s="5" t="s">
        <v>906</v>
      </c>
    </row>
    <row r="265" customFormat="false" ht="15" hidden="false" customHeight="false" outlineLevel="0" collapsed="false">
      <c r="A265" s="5" t="n">
        <v>264</v>
      </c>
      <c r="B265" s="5" t="s">
        <v>907</v>
      </c>
      <c r="C265" s="6" t="s">
        <v>49</v>
      </c>
      <c r="D265" s="5" t="s">
        <v>187</v>
      </c>
      <c r="E265" s="5" t="s">
        <v>188</v>
      </c>
      <c r="F265" s="5" t="s">
        <v>212</v>
      </c>
      <c r="G265" s="5" t="s">
        <v>908</v>
      </c>
      <c r="H265" s="5" t="s">
        <v>183</v>
      </c>
      <c r="I265" s="5" t="s">
        <v>122</v>
      </c>
      <c r="J265" s="7" t="n">
        <v>3794</v>
      </c>
      <c r="K265" s="8" t="n">
        <v>26000</v>
      </c>
      <c r="L265" s="8" t="n">
        <v>61</v>
      </c>
      <c r="M265" s="8" t="n">
        <v>74231.15</v>
      </c>
      <c r="N265" s="8" t="n">
        <v>1896033</v>
      </c>
      <c r="O265" s="5" t="n">
        <v>69.1</v>
      </c>
      <c r="P265" s="9" t="n">
        <v>2</v>
      </c>
      <c r="Q265" s="5" t="n">
        <v>4.3</v>
      </c>
      <c r="R265" s="5" t="s">
        <v>95</v>
      </c>
      <c r="S265" s="5" t="s">
        <v>375</v>
      </c>
      <c r="T265" s="5" t="n">
        <v>125</v>
      </c>
      <c r="U265" s="5" t="s">
        <v>80</v>
      </c>
      <c r="V265" s="5" t="s">
        <v>909</v>
      </c>
    </row>
    <row r="266" customFormat="false" ht="15" hidden="false" customHeight="false" outlineLevel="0" collapsed="false">
      <c r="A266" s="5" t="n">
        <v>265</v>
      </c>
      <c r="B266" s="5" t="s">
        <v>910</v>
      </c>
      <c r="C266" s="6" t="s">
        <v>49</v>
      </c>
      <c r="D266" s="5" t="s">
        <v>911</v>
      </c>
      <c r="E266" s="5" t="s">
        <v>912</v>
      </c>
      <c r="F266" s="5" t="s">
        <v>76</v>
      </c>
      <c r="G266" s="5" t="s">
        <v>101</v>
      </c>
      <c r="H266" s="5" t="s">
        <v>913</v>
      </c>
      <c r="I266" s="5" t="s">
        <v>256</v>
      </c>
      <c r="J266" s="7" t="n">
        <v>3777</v>
      </c>
      <c r="K266" s="8" t="n">
        <v>52100</v>
      </c>
      <c r="L266" s="8" t="n">
        <v>19</v>
      </c>
      <c r="M266" s="8" t="n">
        <v>135000</v>
      </c>
      <c r="N266" s="8" t="n">
        <v>917310</v>
      </c>
      <c r="O266" s="5" t="n">
        <v>31</v>
      </c>
      <c r="P266" s="9" t="n">
        <v>4.12</v>
      </c>
      <c r="Q266" s="5" t="n">
        <v>5.71</v>
      </c>
      <c r="R266" s="5" t="s">
        <v>53</v>
      </c>
      <c r="S266" s="5" t="s">
        <v>116</v>
      </c>
      <c r="T266" s="5" t="n">
        <v>126</v>
      </c>
      <c r="U266" s="5" t="s">
        <v>80</v>
      </c>
      <c r="V266" s="5" t="s">
        <v>914</v>
      </c>
    </row>
    <row r="267" customFormat="false" ht="15" hidden="false" customHeight="false" outlineLevel="0" collapsed="false">
      <c r="A267" s="5" t="n">
        <v>266</v>
      </c>
      <c r="B267" s="5" t="s">
        <v>915</v>
      </c>
      <c r="C267" s="6" t="s">
        <v>49</v>
      </c>
      <c r="D267" s="5" t="s">
        <v>282</v>
      </c>
      <c r="E267" s="5" t="s">
        <v>283</v>
      </c>
      <c r="F267" s="5" t="s">
        <v>76</v>
      </c>
      <c r="G267" s="5" t="s">
        <v>101</v>
      </c>
      <c r="H267" s="5" t="s">
        <v>284</v>
      </c>
      <c r="I267" s="5" t="s">
        <v>94</v>
      </c>
      <c r="J267" s="7" t="n">
        <v>3776</v>
      </c>
      <c r="K267" s="8" t="n">
        <v>27000</v>
      </c>
      <c r="L267" s="8" t="n">
        <v>38</v>
      </c>
      <c r="M267" s="8" t="n">
        <v>127552.63</v>
      </c>
      <c r="N267" s="8" t="n">
        <v>1655138</v>
      </c>
      <c r="O267" s="5" t="n">
        <v>21.6</v>
      </c>
      <c r="P267" s="9" t="n">
        <v>2.28</v>
      </c>
      <c r="Q267" s="5" t="n">
        <v>4.8</v>
      </c>
      <c r="R267" s="5" t="s">
        <v>53</v>
      </c>
      <c r="S267" s="5" t="s">
        <v>79</v>
      </c>
      <c r="T267" s="5" t="n">
        <v>96</v>
      </c>
      <c r="U267" s="5" t="s">
        <v>80</v>
      </c>
      <c r="V267" s="5" t="s">
        <v>916</v>
      </c>
    </row>
    <row r="268" customFormat="false" ht="15" hidden="false" customHeight="false" outlineLevel="0" collapsed="false">
      <c r="A268" s="5" t="n">
        <v>267</v>
      </c>
      <c r="B268" s="5" t="s">
        <v>917</v>
      </c>
      <c r="C268" s="6" t="s">
        <v>49</v>
      </c>
      <c r="D268" s="5" t="s">
        <v>106</v>
      </c>
      <c r="E268" s="5" t="s">
        <v>107</v>
      </c>
      <c r="F268" s="5" t="s">
        <v>76</v>
      </c>
      <c r="G268" s="5" t="s">
        <v>101</v>
      </c>
      <c r="H268" s="5" t="s">
        <v>465</v>
      </c>
      <c r="I268" s="5" t="s">
        <v>109</v>
      </c>
      <c r="J268" s="7" t="n">
        <v>3769</v>
      </c>
      <c r="K268" s="8" t="n">
        <v>5140</v>
      </c>
      <c r="L268" s="8" t="n">
        <v>24</v>
      </c>
      <c r="M268" s="8" t="n">
        <v>18837.67</v>
      </c>
      <c r="N268" s="8" t="n">
        <v>473103</v>
      </c>
      <c r="O268" s="5" t="n">
        <v>39.5</v>
      </c>
      <c r="P268" s="9" t="n">
        <v>7.97</v>
      </c>
      <c r="Q268" s="5" t="n">
        <v>0.18</v>
      </c>
      <c r="R268" s="5" t="s">
        <v>95</v>
      </c>
      <c r="S268" s="5" t="s">
        <v>96</v>
      </c>
      <c r="T268" s="5" t="n">
        <v>33</v>
      </c>
      <c r="U268" s="5" t="s">
        <v>80</v>
      </c>
      <c r="V268" s="5" t="s">
        <v>918</v>
      </c>
    </row>
    <row r="269" customFormat="false" ht="15" hidden="false" customHeight="false" outlineLevel="0" collapsed="false">
      <c r="A269" s="5" t="n">
        <v>268</v>
      </c>
      <c r="B269" s="5" t="s">
        <v>919</v>
      </c>
      <c r="C269" s="6" t="s">
        <v>49</v>
      </c>
      <c r="D269" s="5" t="s">
        <v>554</v>
      </c>
      <c r="E269" s="5" t="s">
        <v>555</v>
      </c>
      <c r="F269" s="5" t="s">
        <v>76</v>
      </c>
      <c r="G269" s="5" t="s">
        <v>101</v>
      </c>
      <c r="H269" s="5" t="s">
        <v>93</v>
      </c>
      <c r="I269" s="5" t="s">
        <v>94</v>
      </c>
      <c r="J269" s="7" t="n">
        <v>3764</v>
      </c>
      <c r="K269" s="8" t="n">
        <v>20400</v>
      </c>
      <c r="L269" s="8" t="n">
        <v>125</v>
      </c>
      <c r="M269" s="8" t="n">
        <v>27888.8</v>
      </c>
      <c r="N269" s="8" t="n">
        <v>1371287</v>
      </c>
      <c r="O269" s="5" t="n">
        <v>17.4</v>
      </c>
      <c r="P269" s="9" t="n">
        <v>2.75</v>
      </c>
      <c r="Q269" s="5" t="n">
        <v>1.1</v>
      </c>
      <c r="R269" s="5" t="s">
        <v>53</v>
      </c>
      <c r="S269" s="5" t="s">
        <v>116</v>
      </c>
      <c r="T269" s="5" t="n">
        <v>126</v>
      </c>
      <c r="U269" s="5" t="s">
        <v>80</v>
      </c>
      <c r="V269" s="5" t="s">
        <v>920</v>
      </c>
    </row>
    <row r="270" customFormat="false" ht="15" hidden="false" customHeight="false" outlineLevel="0" collapsed="false">
      <c r="A270" s="5" t="n">
        <v>269</v>
      </c>
      <c r="B270" s="5" t="s">
        <v>921</v>
      </c>
      <c r="C270" s="6" t="s">
        <v>49</v>
      </c>
      <c r="D270" s="5" t="s">
        <v>162</v>
      </c>
      <c r="E270" s="5" t="s">
        <v>163</v>
      </c>
      <c r="F270" s="5" t="s">
        <v>76</v>
      </c>
      <c r="G270" s="5" t="s">
        <v>101</v>
      </c>
      <c r="H270" s="5" t="s">
        <v>922</v>
      </c>
      <c r="I270" s="5" t="s">
        <v>122</v>
      </c>
      <c r="J270" s="7" t="n">
        <v>3753</v>
      </c>
      <c r="K270" s="8" t="n">
        <v>10800</v>
      </c>
      <c r="L270" s="8" t="n">
        <v>120</v>
      </c>
      <c r="M270" s="8" t="n">
        <v>24783.56</v>
      </c>
      <c r="N270" s="8" t="n">
        <v>1190083</v>
      </c>
      <c r="O270" s="5" t="n">
        <v>124</v>
      </c>
      <c r="P270" s="9" t="n">
        <v>3.15</v>
      </c>
      <c r="Q270" s="5" t="n">
        <v>0.96</v>
      </c>
      <c r="R270" s="5" t="s">
        <v>95</v>
      </c>
      <c r="S270" s="5" t="s">
        <v>184</v>
      </c>
      <c r="T270" s="5" t="n">
        <v>64</v>
      </c>
      <c r="U270" s="5" t="s">
        <v>80</v>
      </c>
      <c r="V270" s="5" t="s">
        <v>923</v>
      </c>
    </row>
    <row r="271" customFormat="false" ht="15" hidden="false" customHeight="false" outlineLevel="0" collapsed="false">
      <c r="A271" s="5" t="n">
        <v>270</v>
      </c>
      <c r="B271" s="5" t="s">
        <v>924</v>
      </c>
      <c r="C271" s="6" t="s">
        <v>49</v>
      </c>
      <c r="D271" s="5" t="s">
        <v>633</v>
      </c>
      <c r="E271" s="5" t="s">
        <v>634</v>
      </c>
      <c r="F271" s="5" t="s">
        <v>76</v>
      </c>
      <c r="G271" s="5"/>
      <c r="H271" s="5" t="s">
        <v>93</v>
      </c>
      <c r="I271" s="5" t="s">
        <v>94</v>
      </c>
      <c r="J271" s="7" t="n">
        <v>3748</v>
      </c>
      <c r="K271" s="8" t="n">
        <v>2930</v>
      </c>
      <c r="L271" s="8" t="n">
        <v>55</v>
      </c>
      <c r="M271" s="8" t="n">
        <v>22495.87</v>
      </c>
      <c r="N271" s="8" t="n">
        <v>813907</v>
      </c>
      <c r="O271" s="5" t="n">
        <v>25.9</v>
      </c>
      <c r="P271" s="9" t="n">
        <v>4.61</v>
      </c>
      <c r="Q271" s="5" t="n">
        <v>0.14</v>
      </c>
      <c r="R271" s="5" t="s">
        <v>53</v>
      </c>
      <c r="S271" s="5" t="s">
        <v>96</v>
      </c>
      <c r="T271" s="5" t="n">
        <v>33</v>
      </c>
      <c r="U271" s="5" t="s">
        <v>80</v>
      </c>
      <c r="V271" s="5" t="s">
        <v>925</v>
      </c>
    </row>
    <row r="272" customFormat="false" ht="15" hidden="false" customHeight="false" outlineLevel="0" collapsed="false">
      <c r="A272" s="5" t="n">
        <v>271</v>
      </c>
      <c r="B272" s="5" t="s">
        <v>926</v>
      </c>
      <c r="C272" s="6" t="s">
        <v>49</v>
      </c>
      <c r="D272" s="5" t="s">
        <v>927</v>
      </c>
      <c r="E272" s="5" t="s">
        <v>928</v>
      </c>
      <c r="F272" s="5" t="s">
        <v>76</v>
      </c>
      <c r="G272" s="5" t="s">
        <v>101</v>
      </c>
      <c r="H272" s="5" t="s">
        <v>93</v>
      </c>
      <c r="I272" s="5" t="s">
        <v>94</v>
      </c>
      <c r="J272" s="7" t="n">
        <v>3748</v>
      </c>
      <c r="K272" s="8" t="n">
        <v>4610</v>
      </c>
      <c r="L272" s="8" t="n">
        <v>25</v>
      </c>
      <c r="M272" s="8" t="n">
        <v>47476</v>
      </c>
      <c r="N272" s="8" t="n">
        <v>1165743</v>
      </c>
      <c r="O272" s="5" t="n">
        <v>32.8</v>
      </c>
      <c r="P272" s="9" t="n">
        <v>3.21</v>
      </c>
      <c r="Q272" s="5" t="n">
        <v>3.53</v>
      </c>
      <c r="R272" s="5" t="s">
        <v>53</v>
      </c>
      <c r="S272" s="5" t="s">
        <v>96</v>
      </c>
      <c r="T272" s="5" t="n">
        <v>33</v>
      </c>
      <c r="U272" s="5" t="s">
        <v>80</v>
      </c>
      <c r="V272" s="5" t="s">
        <v>929</v>
      </c>
    </row>
    <row r="273" customFormat="false" ht="15" hidden="false" customHeight="false" outlineLevel="0" collapsed="false">
      <c r="A273" s="5" t="n">
        <v>272</v>
      </c>
      <c r="B273" s="5" t="s">
        <v>930</v>
      </c>
      <c r="C273" s="6" t="s">
        <v>49</v>
      </c>
      <c r="D273" s="5" t="s">
        <v>665</v>
      </c>
      <c r="E273" s="5" t="s">
        <v>666</v>
      </c>
      <c r="F273" s="5" t="s">
        <v>76</v>
      </c>
      <c r="G273" s="5" t="s">
        <v>931</v>
      </c>
      <c r="H273" s="5" t="s">
        <v>131</v>
      </c>
      <c r="I273" s="5" t="s">
        <v>94</v>
      </c>
      <c r="J273" s="7" t="n">
        <v>3741</v>
      </c>
      <c r="K273" s="8" t="n">
        <v>1070</v>
      </c>
      <c r="L273" s="8" t="n">
        <v>19</v>
      </c>
      <c r="M273" s="8" t="n">
        <v>12609.42</v>
      </c>
      <c r="N273" s="8" t="n">
        <v>231176</v>
      </c>
      <c r="O273" s="5" t="n">
        <v>122.3</v>
      </c>
      <c r="P273" s="9" t="n">
        <v>16.18</v>
      </c>
      <c r="Q273" s="5" t="n">
        <v>2.68</v>
      </c>
      <c r="R273" s="5" t="s">
        <v>53</v>
      </c>
      <c r="S273" s="5" t="s">
        <v>96</v>
      </c>
      <c r="T273" s="5" t="n">
        <v>33</v>
      </c>
      <c r="U273" s="5" t="s">
        <v>80</v>
      </c>
      <c r="V273" s="5" t="s">
        <v>932</v>
      </c>
    </row>
    <row r="274" customFormat="false" ht="15" hidden="false" customHeight="false" outlineLevel="0" collapsed="false">
      <c r="A274" s="5" t="n">
        <v>273</v>
      </c>
      <c r="B274" s="5" t="s">
        <v>933</v>
      </c>
      <c r="C274" s="6" t="s">
        <v>49</v>
      </c>
      <c r="D274" s="5" t="s">
        <v>282</v>
      </c>
      <c r="E274" s="5" t="s">
        <v>283</v>
      </c>
      <c r="F274" s="5"/>
      <c r="G274" s="5"/>
      <c r="H274" s="5" t="s">
        <v>934</v>
      </c>
      <c r="I274" s="5"/>
      <c r="J274" s="7" t="n">
        <v>3741</v>
      </c>
      <c r="K274" s="8" t="n">
        <v>9620</v>
      </c>
      <c r="L274" s="8" t="n">
        <v>292</v>
      </c>
      <c r="M274" s="8" t="n">
        <v>23269</v>
      </c>
      <c r="N274" s="8" t="n">
        <v>1280317</v>
      </c>
      <c r="O274" s="5" t="n">
        <v>22.2</v>
      </c>
      <c r="P274" s="9" t="n">
        <v>2.92</v>
      </c>
      <c r="Q274" s="5" t="n">
        <v>0.48</v>
      </c>
      <c r="R274" s="5" t="s">
        <v>53</v>
      </c>
      <c r="S274" s="5" t="s">
        <v>71</v>
      </c>
      <c r="T274" s="5" t="n">
        <v>153</v>
      </c>
      <c r="U274" s="5" t="s">
        <v>55</v>
      </c>
      <c r="V274" s="5" t="s">
        <v>935</v>
      </c>
    </row>
    <row r="275" customFormat="false" ht="15" hidden="false" customHeight="false" outlineLevel="0" collapsed="false">
      <c r="A275" s="5" t="n">
        <v>274</v>
      </c>
      <c r="B275" s="5" t="s">
        <v>936</v>
      </c>
      <c r="C275" s="6" t="s">
        <v>49</v>
      </c>
      <c r="D275" s="5" t="s">
        <v>404</v>
      </c>
      <c r="E275" s="5" t="s">
        <v>405</v>
      </c>
      <c r="F275" s="5" t="s">
        <v>76</v>
      </c>
      <c r="G275" s="5"/>
      <c r="H275" s="5" t="s">
        <v>131</v>
      </c>
      <c r="I275" s="5" t="s">
        <v>78</v>
      </c>
      <c r="J275" s="7" t="n">
        <v>3724</v>
      </c>
      <c r="K275" s="8" t="n">
        <v>5690</v>
      </c>
      <c r="L275" s="8" t="n">
        <v>60</v>
      </c>
      <c r="M275" s="8" t="n">
        <v>15092.65</v>
      </c>
      <c r="N275" s="8" t="n">
        <v>674524</v>
      </c>
      <c r="O275" s="5" t="n">
        <v>29.3</v>
      </c>
      <c r="P275" s="9" t="n">
        <v>5.52</v>
      </c>
      <c r="Q275" s="5" t="n">
        <v>0.38</v>
      </c>
      <c r="R275" s="5" t="s">
        <v>53</v>
      </c>
      <c r="S275" s="5" t="s">
        <v>165</v>
      </c>
      <c r="T275" s="5" t="n">
        <v>95</v>
      </c>
      <c r="U275" s="5" t="s">
        <v>80</v>
      </c>
      <c r="V275" s="5" t="s">
        <v>937</v>
      </c>
    </row>
    <row r="276" customFormat="false" ht="15" hidden="false" customHeight="false" outlineLevel="0" collapsed="false">
      <c r="A276" s="5" t="n">
        <v>275</v>
      </c>
      <c r="B276" s="5" t="s">
        <v>938</v>
      </c>
      <c r="C276" s="6" t="s">
        <v>49</v>
      </c>
      <c r="D276" s="5" t="s">
        <v>575</v>
      </c>
      <c r="E276" s="5" t="s">
        <v>576</v>
      </c>
      <c r="F276" s="5" t="s">
        <v>212</v>
      </c>
      <c r="G276" s="5"/>
      <c r="H276" s="5" t="s">
        <v>412</v>
      </c>
      <c r="I276" s="5" t="s">
        <v>94</v>
      </c>
      <c r="J276" s="7" t="n">
        <v>3713</v>
      </c>
      <c r="K276" s="8" t="n">
        <v>14900</v>
      </c>
      <c r="L276" s="8" t="n">
        <v>46</v>
      </c>
      <c r="M276" s="8" t="n">
        <v>95657.04</v>
      </c>
      <c r="N276" s="8" t="n">
        <v>863314</v>
      </c>
      <c r="O276" s="5" t="n">
        <v>61.9</v>
      </c>
      <c r="P276" s="9" t="n">
        <v>4.3</v>
      </c>
      <c r="Q276" s="5" t="n">
        <v>4.45</v>
      </c>
      <c r="R276" s="5" t="s">
        <v>53</v>
      </c>
      <c r="S276" s="5" t="s">
        <v>375</v>
      </c>
      <c r="T276" s="5" t="n">
        <v>125</v>
      </c>
      <c r="U276" s="5" t="s">
        <v>80</v>
      </c>
      <c r="V276" s="5" t="s">
        <v>939</v>
      </c>
    </row>
    <row r="277" customFormat="false" ht="15" hidden="false" customHeight="false" outlineLevel="0" collapsed="false">
      <c r="A277" s="5" t="n">
        <v>276</v>
      </c>
      <c r="B277" s="5" t="s">
        <v>940</v>
      </c>
      <c r="C277" s="6" t="s">
        <v>49</v>
      </c>
      <c r="D277" s="5" t="s">
        <v>307</v>
      </c>
      <c r="E277" s="5" t="s">
        <v>308</v>
      </c>
      <c r="F277" s="5" t="s">
        <v>212</v>
      </c>
      <c r="G277" s="5" t="s">
        <v>101</v>
      </c>
      <c r="H277" s="5" t="s">
        <v>310</v>
      </c>
      <c r="I277" s="5" t="s">
        <v>296</v>
      </c>
      <c r="J277" s="7" t="n">
        <v>3713</v>
      </c>
      <c r="K277" s="8" t="n">
        <v>16100</v>
      </c>
      <c r="L277" s="8" t="n">
        <v>58</v>
      </c>
      <c r="M277" s="8" t="n">
        <v>54668.97</v>
      </c>
      <c r="N277" s="8" t="n">
        <v>1492045</v>
      </c>
      <c r="O277" s="5" t="n">
        <v>42.5</v>
      </c>
      <c r="P277" s="9" t="n">
        <v>2.49</v>
      </c>
      <c r="Q277" s="5" t="n">
        <v>2.95</v>
      </c>
      <c r="R277" s="5" t="s">
        <v>95</v>
      </c>
      <c r="S277" s="5" t="s">
        <v>96</v>
      </c>
      <c r="T277" s="5" t="n">
        <v>33</v>
      </c>
      <c r="U277" s="5" t="s">
        <v>80</v>
      </c>
      <c r="V277" s="5" t="s">
        <v>941</v>
      </c>
    </row>
    <row r="278" customFormat="false" ht="15" hidden="false" customHeight="false" outlineLevel="0" collapsed="false">
      <c r="A278" s="5" t="n">
        <v>277</v>
      </c>
      <c r="B278" s="5" t="s">
        <v>942</v>
      </c>
      <c r="C278" s="6" t="s">
        <v>49</v>
      </c>
      <c r="D278" s="5" t="s">
        <v>385</v>
      </c>
      <c r="E278" s="5" t="s">
        <v>386</v>
      </c>
      <c r="F278" s="5" t="s">
        <v>76</v>
      </c>
      <c r="G278" s="5" t="s">
        <v>101</v>
      </c>
      <c r="H278" s="5" t="s">
        <v>943</v>
      </c>
      <c r="I278" s="5" t="s">
        <v>94</v>
      </c>
      <c r="J278" s="7" t="n">
        <v>3684</v>
      </c>
      <c r="K278" s="8" t="n">
        <v>2360</v>
      </c>
      <c r="L278" s="8" t="n">
        <v>13</v>
      </c>
      <c r="M278" s="8" t="n">
        <v>46200</v>
      </c>
      <c r="N278" s="8" t="n">
        <v>595064</v>
      </c>
      <c r="O278" s="5" t="n">
        <v>44.4</v>
      </c>
      <c r="P278" s="9" t="n">
        <v>6.19</v>
      </c>
      <c r="Q278" s="5" t="n">
        <v>7.65</v>
      </c>
      <c r="R278" s="5" t="s">
        <v>53</v>
      </c>
      <c r="S278" s="5" t="s">
        <v>96</v>
      </c>
      <c r="T278" s="5" t="n">
        <v>33</v>
      </c>
      <c r="U278" s="5" t="s">
        <v>80</v>
      </c>
      <c r="V278" s="5" t="s">
        <v>944</v>
      </c>
    </row>
    <row r="279" customFormat="false" ht="15" hidden="false" customHeight="false" outlineLevel="0" collapsed="false">
      <c r="A279" s="5" t="n">
        <v>278</v>
      </c>
      <c r="B279" s="5" t="s">
        <v>945</v>
      </c>
      <c r="C279" s="6" t="s">
        <v>49</v>
      </c>
      <c r="D279" s="5" t="s">
        <v>210</v>
      </c>
      <c r="E279" s="5" t="s">
        <v>211</v>
      </c>
      <c r="F279" s="5" t="s">
        <v>212</v>
      </c>
      <c r="G279" s="5" t="s">
        <v>714</v>
      </c>
      <c r="H279" s="5" t="s">
        <v>214</v>
      </c>
      <c r="I279" s="5" t="s">
        <v>94</v>
      </c>
      <c r="J279" s="7" t="n">
        <v>3681</v>
      </c>
      <c r="K279" s="8" t="n">
        <v>25600</v>
      </c>
      <c r="L279" s="8" t="n">
        <v>106</v>
      </c>
      <c r="M279" s="8" t="n">
        <v>57159.57</v>
      </c>
      <c r="N279" s="8" t="n">
        <v>1953106</v>
      </c>
      <c r="O279" s="5" t="n">
        <v>58.1</v>
      </c>
      <c r="P279" s="9" t="n">
        <v>1.88</v>
      </c>
      <c r="Q279" s="5" t="n">
        <v>0.55</v>
      </c>
      <c r="R279" s="5" t="s">
        <v>95</v>
      </c>
      <c r="S279" s="5" t="s">
        <v>165</v>
      </c>
      <c r="T279" s="5" t="n">
        <v>95</v>
      </c>
      <c r="U279" s="5" t="s">
        <v>80</v>
      </c>
      <c r="V279" s="5" t="s">
        <v>946</v>
      </c>
    </row>
    <row r="280" customFormat="false" ht="15" hidden="false" customHeight="false" outlineLevel="0" collapsed="false">
      <c r="A280" s="5" t="n">
        <v>279</v>
      </c>
      <c r="B280" s="5" t="s">
        <v>947</v>
      </c>
      <c r="C280" s="6" t="s">
        <v>49</v>
      </c>
      <c r="D280" s="5" t="s">
        <v>227</v>
      </c>
      <c r="E280" s="5" t="s">
        <v>228</v>
      </c>
      <c r="F280" s="5" t="s">
        <v>76</v>
      </c>
      <c r="G280" s="5" t="s">
        <v>101</v>
      </c>
      <c r="H280" s="5" t="s">
        <v>581</v>
      </c>
      <c r="I280" s="5" t="s">
        <v>109</v>
      </c>
      <c r="J280" s="7" t="n">
        <v>3673</v>
      </c>
      <c r="K280" s="8" t="n">
        <v>4230</v>
      </c>
      <c r="L280" s="8" t="n">
        <v>121</v>
      </c>
      <c r="M280" s="8" t="n">
        <v>6213.5</v>
      </c>
      <c r="N280" s="8" t="n">
        <v>330634</v>
      </c>
      <c r="O280" s="5" t="n">
        <v>129.7</v>
      </c>
      <c r="P280" s="9" t="n">
        <v>11.11</v>
      </c>
      <c r="Q280" s="5" t="n">
        <v>0.65</v>
      </c>
      <c r="R280" s="5" t="s">
        <v>95</v>
      </c>
      <c r="S280" s="5" t="s">
        <v>116</v>
      </c>
      <c r="T280" s="5" t="n">
        <v>126</v>
      </c>
      <c r="U280" s="5" t="s">
        <v>80</v>
      </c>
      <c r="V280" s="5" t="s">
        <v>948</v>
      </c>
    </row>
    <row r="281" customFormat="false" ht="15" hidden="false" customHeight="false" outlineLevel="0" collapsed="false">
      <c r="A281" s="5" t="n">
        <v>280</v>
      </c>
      <c r="B281" s="5" t="s">
        <v>949</v>
      </c>
      <c r="C281" s="6" t="s">
        <v>49</v>
      </c>
      <c r="D281" s="5" t="s">
        <v>113</v>
      </c>
      <c r="E281" s="5" t="s">
        <v>114</v>
      </c>
      <c r="F281" s="5" t="s">
        <v>76</v>
      </c>
      <c r="G281" s="5" t="s">
        <v>101</v>
      </c>
      <c r="H281" s="5" t="s">
        <v>214</v>
      </c>
      <c r="I281" s="5" t="s">
        <v>94</v>
      </c>
      <c r="J281" s="7" t="n">
        <v>3648</v>
      </c>
      <c r="K281" s="8" t="n">
        <v>1920</v>
      </c>
      <c r="L281" s="8" t="n">
        <v>21</v>
      </c>
      <c r="M281" s="8" t="n">
        <v>14425.78</v>
      </c>
      <c r="N281" s="8" t="n">
        <v>259664</v>
      </c>
      <c r="O281" s="5" t="n">
        <v>214.1</v>
      </c>
      <c r="P281" s="9" t="n">
        <v>14.05</v>
      </c>
      <c r="Q281" s="5" t="n">
        <v>1.71</v>
      </c>
      <c r="R281" s="5" t="s">
        <v>53</v>
      </c>
      <c r="S281" s="5" t="s">
        <v>96</v>
      </c>
      <c r="T281" s="5" t="n">
        <v>33</v>
      </c>
      <c r="U281" s="5" t="s">
        <v>80</v>
      </c>
      <c r="V281" s="5" t="s">
        <v>950</v>
      </c>
    </row>
    <row r="282" customFormat="false" ht="15" hidden="false" customHeight="false" outlineLevel="0" collapsed="false">
      <c r="A282" s="5" t="n">
        <v>281</v>
      </c>
      <c r="B282" s="5" t="s">
        <v>951</v>
      </c>
      <c r="C282" s="6" t="s">
        <v>49</v>
      </c>
      <c r="D282" s="5" t="s">
        <v>89</v>
      </c>
      <c r="E282" s="5" t="s">
        <v>90</v>
      </c>
      <c r="F282" s="5"/>
      <c r="G282" s="5"/>
      <c r="H282" s="5" t="s">
        <v>952</v>
      </c>
      <c r="I282" s="5"/>
      <c r="J282" s="7" t="n">
        <v>3645</v>
      </c>
      <c r="K282" s="8" t="n">
        <v>2280</v>
      </c>
      <c r="L282" s="8" t="n">
        <v>3</v>
      </c>
      <c r="M282" s="8" t="n">
        <v>555000</v>
      </c>
      <c r="N282" s="8" t="n">
        <v>657401</v>
      </c>
      <c r="O282" s="5" t="n">
        <v>29.5</v>
      </c>
      <c r="P282" s="9" t="n">
        <v>5.54</v>
      </c>
      <c r="Q282" s="5" t="n">
        <v>163.24</v>
      </c>
      <c r="R282" s="5" t="s">
        <v>95</v>
      </c>
      <c r="S282" s="5" t="s">
        <v>65</v>
      </c>
      <c r="T282" s="5" t="n">
        <v>30</v>
      </c>
      <c r="U282" s="5" t="s">
        <v>55</v>
      </c>
      <c r="V282" s="5" t="s">
        <v>953</v>
      </c>
    </row>
    <row r="283" customFormat="false" ht="15" hidden="false" customHeight="false" outlineLevel="0" collapsed="false">
      <c r="A283" s="5" t="n">
        <v>282</v>
      </c>
      <c r="B283" s="5" t="s">
        <v>954</v>
      </c>
      <c r="C283" s="6" t="s">
        <v>49</v>
      </c>
      <c r="D283" s="5" t="s">
        <v>270</v>
      </c>
      <c r="E283" s="5" t="s">
        <v>271</v>
      </c>
      <c r="F283" s="5" t="s">
        <v>76</v>
      </c>
      <c r="G283" s="5"/>
      <c r="H283" s="5" t="s">
        <v>214</v>
      </c>
      <c r="I283" s="5" t="s">
        <v>94</v>
      </c>
      <c r="J283" s="7" t="n">
        <v>3638</v>
      </c>
      <c r="K283" s="8" t="n">
        <v>6850</v>
      </c>
      <c r="L283" s="8" t="n">
        <v>27</v>
      </c>
      <c r="M283" s="8" t="n">
        <v>72990.78</v>
      </c>
      <c r="N283" s="8" t="n">
        <v>1066911</v>
      </c>
      <c r="O283" s="5" t="n">
        <v>18.4</v>
      </c>
      <c r="P283" s="9" t="n">
        <v>3.41</v>
      </c>
      <c r="Q283" s="5" t="n">
        <v>6.18</v>
      </c>
      <c r="R283" s="5" t="s">
        <v>95</v>
      </c>
      <c r="S283" s="5" t="s">
        <v>96</v>
      </c>
      <c r="T283" s="5" t="n">
        <v>33</v>
      </c>
      <c r="U283" s="5" t="s">
        <v>80</v>
      </c>
      <c r="V283" s="5" t="s">
        <v>955</v>
      </c>
    </row>
    <row r="284" customFormat="false" ht="15" hidden="false" customHeight="false" outlineLevel="0" collapsed="false">
      <c r="A284" s="5" t="n">
        <v>283</v>
      </c>
      <c r="B284" s="5" t="s">
        <v>956</v>
      </c>
      <c r="C284" s="6" t="s">
        <v>49</v>
      </c>
      <c r="D284" s="5" t="s">
        <v>200</v>
      </c>
      <c r="E284" s="5" t="s">
        <v>201</v>
      </c>
      <c r="F284" s="5" t="s">
        <v>91</v>
      </c>
      <c r="G284" s="5" t="s">
        <v>92</v>
      </c>
      <c r="H284" s="5" t="s">
        <v>957</v>
      </c>
      <c r="I284" s="5" t="s">
        <v>78</v>
      </c>
      <c r="J284" s="7" t="n">
        <v>3634</v>
      </c>
      <c r="K284" s="8" t="n">
        <v>3480</v>
      </c>
      <c r="L284" s="8" t="n">
        <v>85</v>
      </c>
      <c r="M284" s="8" t="n">
        <v>30555.46</v>
      </c>
      <c r="N284" s="8" t="n">
        <v>1702220</v>
      </c>
      <c r="O284" s="5" t="n">
        <v>15.5</v>
      </c>
      <c r="P284" s="9" t="n">
        <v>2.13</v>
      </c>
      <c r="Q284" s="5" t="n">
        <v>3.53</v>
      </c>
      <c r="R284" s="5" t="s">
        <v>53</v>
      </c>
      <c r="S284" s="5" t="s">
        <v>96</v>
      </c>
      <c r="T284" s="5" t="n">
        <v>33</v>
      </c>
      <c r="U284" s="5" t="s">
        <v>80</v>
      </c>
      <c r="V284" s="5" t="s">
        <v>958</v>
      </c>
    </row>
    <row r="285" customFormat="false" ht="15" hidden="false" customHeight="false" outlineLevel="0" collapsed="false">
      <c r="A285" s="5" t="n">
        <v>284</v>
      </c>
      <c r="B285" s="5" t="s">
        <v>959</v>
      </c>
      <c r="C285" s="6" t="s">
        <v>49</v>
      </c>
      <c r="D285" s="5" t="s">
        <v>545</v>
      </c>
      <c r="E285" s="5" t="s">
        <v>546</v>
      </c>
      <c r="F285" s="5" t="s">
        <v>76</v>
      </c>
      <c r="G285" s="5" t="s">
        <v>101</v>
      </c>
      <c r="H285" s="5" t="s">
        <v>614</v>
      </c>
      <c r="I285" s="5" t="s">
        <v>94</v>
      </c>
      <c r="J285" s="7" t="n">
        <v>3622</v>
      </c>
      <c r="K285" s="8" t="n">
        <v>7600</v>
      </c>
      <c r="L285" s="8" t="n">
        <v>4</v>
      </c>
      <c r="M285" s="8" t="n">
        <v>143500</v>
      </c>
      <c r="N285" s="8" t="n">
        <v>645403</v>
      </c>
      <c r="O285" s="5" t="n">
        <v>27.1</v>
      </c>
      <c r="P285" s="9" t="n">
        <v>5.61</v>
      </c>
      <c r="Q285" s="5" t="n">
        <v>31.62</v>
      </c>
      <c r="R285" s="5" t="s">
        <v>53</v>
      </c>
      <c r="S285" s="5" t="s">
        <v>96</v>
      </c>
      <c r="T285" s="5" t="n">
        <v>33</v>
      </c>
      <c r="U285" s="5" t="s">
        <v>80</v>
      </c>
      <c r="V285" s="5" t="s">
        <v>960</v>
      </c>
    </row>
    <row r="286" customFormat="false" ht="15" hidden="false" customHeight="false" outlineLevel="0" collapsed="false">
      <c r="A286" s="5" t="n">
        <v>285</v>
      </c>
      <c r="B286" s="5" t="s">
        <v>961</v>
      </c>
      <c r="C286" s="6" t="s">
        <v>49</v>
      </c>
      <c r="D286" s="5" t="s">
        <v>515</v>
      </c>
      <c r="E286" s="5" t="s">
        <v>516</v>
      </c>
      <c r="F286" s="5" t="s">
        <v>76</v>
      </c>
      <c r="G286" s="5" t="s">
        <v>101</v>
      </c>
      <c r="H286" s="5" t="s">
        <v>473</v>
      </c>
      <c r="I286" s="5" t="s">
        <v>78</v>
      </c>
      <c r="J286" s="7" t="n">
        <v>3607</v>
      </c>
      <c r="K286" s="8" t="n">
        <v>6990</v>
      </c>
      <c r="L286" s="8" t="n">
        <v>42</v>
      </c>
      <c r="M286" s="8" t="n">
        <v>60648.36</v>
      </c>
      <c r="N286" s="8" t="n">
        <v>1699027</v>
      </c>
      <c r="O286" s="5" t="n">
        <v>11.6</v>
      </c>
      <c r="P286" s="9" t="n">
        <v>2.12</v>
      </c>
      <c r="Q286" s="5" t="n">
        <v>1.96</v>
      </c>
      <c r="R286" s="5" t="s">
        <v>53</v>
      </c>
      <c r="S286" s="5" t="s">
        <v>79</v>
      </c>
      <c r="T286" s="5" t="n">
        <v>96</v>
      </c>
      <c r="U286" s="5" t="s">
        <v>80</v>
      </c>
      <c r="V286" s="5" t="s">
        <v>962</v>
      </c>
    </row>
    <row r="287" customFormat="false" ht="15" hidden="false" customHeight="false" outlineLevel="0" collapsed="false">
      <c r="A287" s="5" t="n">
        <v>286</v>
      </c>
      <c r="B287" s="5" t="s">
        <v>963</v>
      </c>
      <c r="C287" s="6" t="s">
        <v>49</v>
      </c>
      <c r="D287" s="5" t="s">
        <v>119</v>
      </c>
      <c r="E287" s="5" t="s">
        <v>120</v>
      </c>
      <c r="F287" s="5" t="s">
        <v>76</v>
      </c>
      <c r="G287" s="5" t="s">
        <v>101</v>
      </c>
      <c r="H287" s="5" t="s">
        <v>363</v>
      </c>
      <c r="I287" s="5" t="s">
        <v>122</v>
      </c>
      <c r="J287" s="7" t="n">
        <v>3551</v>
      </c>
      <c r="K287" s="8" t="n">
        <v>6050</v>
      </c>
      <c r="L287" s="8" t="n">
        <v>34</v>
      </c>
      <c r="M287" s="8" t="n">
        <v>48524.24</v>
      </c>
      <c r="N287" s="8" t="n">
        <v>823294</v>
      </c>
      <c r="O287" s="5" t="n">
        <v>21.8</v>
      </c>
      <c r="P287" s="9" t="n">
        <v>4.31</v>
      </c>
      <c r="Q287" s="5" t="n">
        <v>1.79</v>
      </c>
      <c r="R287" s="5" t="s">
        <v>53</v>
      </c>
      <c r="S287" s="5" t="s">
        <v>184</v>
      </c>
      <c r="T287" s="5" t="n">
        <v>64</v>
      </c>
      <c r="U287" s="5" t="s">
        <v>80</v>
      </c>
      <c r="V287" s="5" t="s">
        <v>964</v>
      </c>
    </row>
    <row r="288" customFormat="false" ht="15" hidden="false" customHeight="false" outlineLevel="0" collapsed="false">
      <c r="A288" s="5" t="n">
        <v>287</v>
      </c>
      <c r="B288" s="5" t="s">
        <v>965</v>
      </c>
      <c r="C288" s="6" t="s">
        <v>49</v>
      </c>
      <c r="D288" s="5" t="s">
        <v>231</v>
      </c>
      <c r="E288" s="5" t="s">
        <v>232</v>
      </c>
      <c r="F288" s="5" t="s">
        <v>76</v>
      </c>
      <c r="G288" s="5"/>
      <c r="H288" s="5" t="s">
        <v>656</v>
      </c>
      <c r="I288" s="5" t="s">
        <v>94</v>
      </c>
      <c r="J288" s="7" t="n">
        <v>3548</v>
      </c>
      <c r="K288" s="8" t="n">
        <v>3300</v>
      </c>
      <c r="L288" s="8" t="n">
        <v>42</v>
      </c>
      <c r="M288" s="8" t="n">
        <v>31838.98</v>
      </c>
      <c r="N288" s="8" t="n">
        <v>921748</v>
      </c>
      <c r="O288" s="5" t="n">
        <v>23.9</v>
      </c>
      <c r="P288" s="9" t="n">
        <v>3.85</v>
      </c>
      <c r="Q288" s="5" t="n">
        <v>2.88</v>
      </c>
      <c r="R288" s="5" t="s">
        <v>53</v>
      </c>
      <c r="S288" s="5" t="s">
        <v>103</v>
      </c>
      <c r="T288" s="5" t="n">
        <v>65</v>
      </c>
      <c r="U288" s="5" t="s">
        <v>80</v>
      </c>
      <c r="V288" s="5" t="s">
        <v>966</v>
      </c>
    </row>
    <row r="289" customFormat="false" ht="15" hidden="false" customHeight="false" outlineLevel="0" collapsed="false">
      <c r="A289" s="5" t="n">
        <v>288</v>
      </c>
      <c r="B289" s="5" t="s">
        <v>967</v>
      </c>
      <c r="C289" s="6" t="s">
        <v>49</v>
      </c>
      <c r="D289" s="5" t="s">
        <v>319</v>
      </c>
      <c r="E289" s="5" t="s">
        <v>320</v>
      </c>
      <c r="F289" s="5" t="s">
        <v>76</v>
      </c>
      <c r="G289" s="5"/>
      <c r="H289" s="5" t="s">
        <v>131</v>
      </c>
      <c r="I289" s="5" t="s">
        <v>94</v>
      </c>
      <c r="J289" s="7" t="n">
        <v>3540</v>
      </c>
      <c r="K289" s="8" t="n">
        <v>7530</v>
      </c>
      <c r="L289" s="8" t="n">
        <v>33</v>
      </c>
      <c r="M289" s="8" t="n">
        <v>42502.06</v>
      </c>
      <c r="N289" s="8" t="n">
        <v>409875</v>
      </c>
      <c r="O289" s="5" t="n">
        <v>150.1</v>
      </c>
      <c r="P289" s="9" t="n">
        <v>8.64</v>
      </c>
      <c r="Q289" s="5" t="n">
        <v>2.94</v>
      </c>
      <c r="R289" s="5" t="s">
        <v>53</v>
      </c>
      <c r="S289" s="5" t="s">
        <v>103</v>
      </c>
      <c r="T289" s="5" t="n">
        <v>65</v>
      </c>
      <c r="U289" s="5" t="s">
        <v>80</v>
      </c>
      <c r="V289" s="5" t="s">
        <v>968</v>
      </c>
    </row>
    <row r="290" customFormat="false" ht="15" hidden="false" customHeight="false" outlineLevel="0" collapsed="false">
      <c r="A290" s="5" t="n">
        <v>289</v>
      </c>
      <c r="B290" s="5" t="s">
        <v>969</v>
      </c>
      <c r="C290" s="6" t="s">
        <v>49</v>
      </c>
      <c r="D290" s="5" t="s">
        <v>217</v>
      </c>
      <c r="E290" s="5" t="s">
        <v>218</v>
      </c>
      <c r="F290" s="5" t="s">
        <v>76</v>
      </c>
      <c r="G290" s="5"/>
      <c r="H290" s="5" t="s">
        <v>220</v>
      </c>
      <c r="I290" s="5" t="s">
        <v>94</v>
      </c>
      <c r="J290" s="7" t="n">
        <v>3516</v>
      </c>
      <c r="K290" s="8" t="n">
        <v>79400</v>
      </c>
      <c r="L290" s="8" t="n">
        <v>115</v>
      </c>
      <c r="M290" s="8" t="n">
        <v>31258.26</v>
      </c>
      <c r="N290" s="8" t="n">
        <v>1057655</v>
      </c>
      <c r="O290" s="5" t="n">
        <v>24.1</v>
      </c>
      <c r="P290" s="9" t="n">
        <v>3.32</v>
      </c>
      <c r="Q290" s="5" t="n">
        <v>0.52</v>
      </c>
      <c r="R290" s="5" t="s">
        <v>95</v>
      </c>
      <c r="S290" s="5" t="s">
        <v>79</v>
      </c>
      <c r="T290" s="5" t="n">
        <v>96</v>
      </c>
      <c r="U290" s="5" t="s">
        <v>80</v>
      </c>
      <c r="V290" s="5" t="s">
        <v>970</v>
      </c>
    </row>
    <row r="291" customFormat="false" ht="15" hidden="false" customHeight="false" outlineLevel="0" collapsed="false">
      <c r="A291" s="5" t="n">
        <v>290</v>
      </c>
      <c r="B291" s="5" t="s">
        <v>971</v>
      </c>
      <c r="C291" s="6" t="s">
        <v>49</v>
      </c>
      <c r="D291" s="5" t="s">
        <v>307</v>
      </c>
      <c r="E291" s="5" t="s">
        <v>308</v>
      </c>
      <c r="F291" s="5" t="s">
        <v>76</v>
      </c>
      <c r="G291" s="5" t="s">
        <v>309</v>
      </c>
      <c r="H291" s="5" t="s">
        <v>310</v>
      </c>
      <c r="I291" s="5" t="s">
        <v>296</v>
      </c>
      <c r="J291" s="7" t="n">
        <v>3508</v>
      </c>
      <c r="K291" s="8" t="n">
        <v>561</v>
      </c>
      <c r="L291" s="8" t="n">
        <v>39</v>
      </c>
      <c r="M291" s="8" t="n">
        <v>8535.06</v>
      </c>
      <c r="N291" s="8" t="n">
        <v>332237</v>
      </c>
      <c r="O291" s="5" t="n">
        <v>24.9</v>
      </c>
      <c r="P291" s="9" t="n">
        <v>10.56</v>
      </c>
      <c r="Q291" s="5" t="n">
        <v>0</v>
      </c>
      <c r="R291" s="5" t="s">
        <v>53</v>
      </c>
      <c r="S291" s="5" t="s">
        <v>96</v>
      </c>
      <c r="T291" s="5" t="n">
        <v>33</v>
      </c>
      <c r="U291" s="5" t="s">
        <v>80</v>
      </c>
      <c r="V291" s="5" t="s">
        <v>972</v>
      </c>
    </row>
    <row r="292" customFormat="false" ht="15" hidden="false" customHeight="false" outlineLevel="0" collapsed="false">
      <c r="A292" s="5" t="n">
        <v>291</v>
      </c>
      <c r="B292" s="5" t="s">
        <v>973</v>
      </c>
      <c r="C292" s="6" t="s">
        <v>49</v>
      </c>
      <c r="D292" s="5" t="s">
        <v>974</v>
      </c>
      <c r="E292" s="5" t="s">
        <v>975</v>
      </c>
      <c r="F292" s="5" t="s">
        <v>76</v>
      </c>
      <c r="G292" s="5"/>
      <c r="H292" s="5" t="s">
        <v>568</v>
      </c>
      <c r="I292" s="5" t="s">
        <v>94</v>
      </c>
      <c r="J292" s="7" t="n">
        <v>3492</v>
      </c>
      <c r="K292" s="8" t="n">
        <v>5940</v>
      </c>
      <c r="L292" s="8" t="n">
        <v>34</v>
      </c>
      <c r="M292" s="8" t="n">
        <v>68117.65</v>
      </c>
      <c r="N292" s="8" t="n">
        <v>1286249</v>
      </c>
      <c r="O292" s="5" t="n">
        <v>58</v>
      </c>
      <c r="P292" s="9" t="n">
        <v>2.71</v>
      </c>
      <c r="Q292" s="5" t="n">
        <v>10.15</v>
      </c>
      <c r="R292" s="5" t="s">
        <v>53</v>
      </c>
      <c r="S292" s="5" t="s">
        <v>103</v>
      </c>
      <c r="T292" s="5" t="n">
        <v>65</v>
      </c>
      <c r="U292" s="5" t="s">
        <v>80</v>
      </c>
      <c r="V292" s="5" t="s">
        <v>976</v>
      </c>
    </row>
    <row r="293" customFormat="false" ht="15" hidden="false" customHeight="false" outlineLevel="0" collapsed="false">
      <c r="A293" s="5" t="n">
        <v>292</v>
      </c>
      <c r="B293" s="5" t="s">
        <v>977</v>
      </c>
      <c r="C293" s="6" t="s">
        <v>49</v>
      </c>
      <c r="D293" s="5" t="s">
        <v>418</v>
      </c>
      <c r="E293" s="5" t="s">
        <v>419</v>
      </c>
      <c r="F293" s="5" t="s">
        <v>212</v>
      </c>
      <c r="G293" s="5" t="s">
        <v>213</v>
      </c>
      <c r="H293" s="5" t="s">
        <v>581</v>
      </c>
      <c r="I293" s="5" t="s">
        <v>109</v>
      </c>
      <c r="J293" s="7" t="n">
        <v>3478</v>
      </c>
      <c r="K293" s="8" t="n">
        <v>48600</v>
      </c>
      <c r="L293" s="8" t="n">
        <v>118</v>
      </c>
      <c r="M293" s="8" t="n">
        <v>30179.33</v>
      </c>
      <c r="N293" s="8" t="n">
        <v>1798838</v>
      </c>
      <c r="O293" s="5" t="n">
        <v>36.4</v>
      </c>
      <c r="P293" s="9" t="n">
        <v>1.93</v>
      </c>
      <c r="Q293" s="5" t="n">
        <v>0.37</v>
      </c>
      <c r="R293" s="5" t="s">
        <v>53</v>
      </c>
      <c r="S293" s="5" t="s">
        <v>165</v>
      </c>
      <c r="T293" s="5" t="n">
        <v>95</v>
      </c>
      <c r="U293" s="5" t="s">
        <v>80</v>
      </c>
      <c r="V293" s="5" t="s">
        <v>978</v>
      </c>
    </row>
    <row r="294" customFormat="false" ht="15" hidden="false" customHeight="false" outlineLevel="0" collapsed="false">
      <c r="A294" s="5" t="n">
        <v>293</v>
      </c>
      <c r="B294" s="5" t="s">
        <v>979</v>
      </c>
      <c r="C294" s="6" t="s">
        <v>49</v>
      </c>
      <c r="D294" s="5" t="s">
        <v>50</v>
      </c>
      <c r="E294" s="5" t="s">
        <v>51</v>
      </c>
      <c r="F294" s="5" t="s">
        <v>76</v>
      </c>
      <c r="G294" s="5" t="s">
        <v>101</v>
      </c>
      <c r="H294" s="5" t="s">
        <v>745</v>
      </c>
      <c r="I294" s="5" t="s">
        <v>78</v>
      </c>
      <c r="J294" s="7" t="n">
        <v>3458</v>
      </c>
      <c r="K294" s="8" t="n">
        <v>5430</v>
      </c>
      <c r="L294" s="8" t="n">
        <v>50</v>
      </c>
      <c r="M294" s="8" t="n">
        <v>40380</v>
      </c>
      <c r="N294" s="8" t="n">
        <v>1259646</v>
      </c>
      <c r="O294" s="5" t="n">
        <v>96.6</v>
      </c>
      <c r="P294" s="9" t="n">
        <v>2.75</v>
      </c>
      <c r="Q294" s="5" t="n">
        <v>5.67</v>
      </c>
      <c r="R294" s="5" t="s">
        <v>53</v>
      </c>
      <c r="S294" s="5" t="s">
        <v>980</v>
      </c>
      <c r="T294" s="5" t="n">
        <v>92</v>
      </c>
      <c r="U294" s="5" t="s">
        <v>80</v>
      </c>
      <c r="V294" s="5" t="s">
        <v>981</v>
      </c>
    </row>
    <row r="295" customFormat="false" ht="15" hidden="false" customHeight="false" outlineLevel="0" collapsed="false">
      <c r="A295" s="5" t="n">
        <v>294</v>
      </c>
      <c r="B295" s="5" t="s">
        <v>982</v>
      </c>
      <c r="C295" s="6" t="s">
        <v>49</v>
      </c>
      <c r="D295" s="5" t="s">
        <v>162</v>
      </c>
      <c r="E295" s="5" t="s">
        <v>163</v>
      </c>
      <c r="F295" s="5" t="s">
        <v>76</v>
      </c>
      <c r="G295" s="5" t="s">
        <v>101</v>
      </c>
      <c r="H295" s="5" t="s">
        <v>922</v>
      </c>
      <c r="I295" s="5" t="s">
        <v>300</v>
      </c>
      <c r="J295" s="7" t="n">
        <v>3438</v>
      </c>
      <c r="K295" s="8" t="n">
        <v>4040</v>
      </c>
      <c r="L295" s="8" t="n">
        <v>120</v>
      </c>
      <c r="M295" s="8" t="n">
        <v>5394.04</v>
      </c>
      <c r="N295" s="8" t="n">
        <v>561427</v>
      </c>
      <c r="O295" s="5" t="n">
        <v>126.7</v>
      </c>
      <c r="P295" s="9" t="n">
        <v>6.12</v>
      </c>
      <c r="Q295" s="5" t="n">
        <v>0.15</v>
      </c>
      <c r="R295" s="5" t="s">
        <v>95</v>
      </c>
      <c r="S295" s="5" t="s">
        <v>165</v>
      </c>
      <c r="T295" s="5" t="n">
        <v>95</v>
      </c>
      <c r="U295" s="5" t="s">
        <v>80</v>
      </c>
      <c r="V295" s="5" t="s">
        <v>983</v>
      </c>
    </row>
    <row r="296" customFormat="false" ht="15" hidden="false" customHeight="false" outlineLevel="0" collapsed="false">
      <c r="A296" s="5" t="n">
        <v>295</v>
      </c>
      <c r="B296" s="5" t="s">
        <v>984</v>
      </c>
      <c r="C296" s="6" t="s">
        <v>49</v>
      </c>
      <c r="D296" s="5" t="s">
        <v>985</v>
      </c>
      <c r="E296" s="5" t="s">
        <v>986</v>
      </c>
      <c r="F296" s="5" t="s">
        <v>76</v>
      </c>
      <c r="G296" s="5" t="s">
        <v>101</v>
      </c>
      <c r="H296" s="5" t="s">
        <v>987</v>
      </c>
      <c r="I296" s="5" t="s">
        <v>122</v>
      </c>
      <c r="J296" s="7" t="n">
        <v>3410</v>
      </c>
      <c r="K296" s="8" t="n">
        <v>5560</v>
      </c>
      <c r="L296" s="8" t="n">
        <v>116</v>
      </c>
      <c r="M296" s="8" t="n">
        <v>12618.93</v>
      </c>
      <c r="N296" s="8" t="n">
        <v>838173</v>
      </c>
      <c r="O296" s="5" t="n">
        <v>8.1</v>
      </c>
      <c r="P296" s="9" t="n">
        <v>4.07</v>
      </c>
      <c r="Q296" s="5" t="n">
        <v>0.43</v>
      </c>
      <c r="R296" s="5" t="s">
        <v>95</v>
      </c>
      <c r="S296" s="5" t="s">
        <v>375</v>
      </c>
      <c r="T296" s="5" t="n">
        <v>125</v>
      </c>
      <c r="U296" s="5" t="s">
        <v>80</v>
      </c>
      <c r="V296" s="5" t="s">
        <v>988</v>
      </c>
    </row>
    <row r="297" customFormat="false" ht="15" hidden="false" customHeight="false" outlineLevel="0" collapsed="false">
      <c r="A297" s="5" t="n">
        <v>296</v>
      </c>
      <c r="B297" s="5" t="s">
        <v>989</v>
      </c>
      <c r="C297" s="6" t="s">
        <v>49</v>
      </c>
      <c r="D297" s="5" t="s">
        <v>525</v>
      </c>
      <c r="E297" s="5" t="s">
        <v>526</v>
      </c>
      <c r="F297" s="5" t="s">
        <v>76</v>
      </c>
      <c r="G297" s="5" t="s">
        <v>101</v>
      </c>
      <c r="H297" s="5" t="s">
        <v>248</v>
      </c>
      <c r="I297" s="5" t="s">
        <v>122</v>
      </c>
      <c r="J297" s="7" t="n">
        <v>3402</v>
      </c>
      <c r="K297" s="8" t="n">
        <v>35900</v>
      </c>
      <c r="L297" s="8" t="n">
        <v>9</v>
      </c>
      <c r="M297" s="8" t="n">
        <v>549722.22</v>
      </c>
      <c r="N297" s="8" t="n">
        <v>1444620</v>
      </c>
      <c r="O297" s="5" t="n">
        <v>13.3</v>
      </c>
      <c r="P297" s="9" t="n">
        <v>2.35</v>
      </c>
      <c r="Q297" s="5" t="n">
        <v>26.2</v>
      </c>
      <c r="R297" s="5" t="s">
        <v>95</v>
      </c>
      <c r="S297" s="5" t="s">
        <v>116</v>
      </c>
      <c r="T297" s="5" t="n">
        <v>126</v>
      </c>
      <c r="U297" s="5" t="s">
        <v>80</v>
      </c>
      <c r="V297" s="5" t="s">
        <v>990</v>
      </c>
    </row>
    <row r="298" customFormat="false" ht="15" hidden="false" customHeight="false" outlineLevel="0" collapsed="false">
      <c r="A298" s="5" t="n">
        <v>297</v>
      </c>
      <c r="B298" s="5" t="s">
        <v>991</v>
      </c>
      <c r="C298" s="6" t="s">
        <v>49</v>
      </c>
      <c r="D298" s="5" t="s">
        <v>693</v>
      </c>
      <c r="E298" s="5" t="s">
        <v>694</v>
      </c>
      <c r="F298" s="5" t="s">
        <v>76</v>
      </c>
      <c r="G298" s="5" t="s">
        <v>101</v>
      </c>
      <c r="H298" s="5" t="s">
        <v>131</v>
      </c>
      <c r="I298" s="5" t="s">
        <v>94</v>
      </c>
      <c r="J298" s="7" t="n">
        <v>3401</v>
      </c>
      <c r="K298" s="8" t="n">
        <v>9380</v>
      </c>
      <c r="L298" s="8" t="n">
        <v>31</v>
      </c>
      <c r="M298" s="8" t="n">
        <v>21270.71</v>
      </c>
      <c r="N298" s="8" t="n">
        <v>656748</v>
      </c>
      <c r="O298" s="5" t="n">
        <v>30.5</v>
      </c>
      <c r="P298" s="9" t="n">
        <v>5.18</v>
      </c>
      <c r="Q298" s="5" t="n">
        <v>2.03</v>
      </c>
      <c r="R298" s="5" t="s">
        <v>53</v>
      </c>
      <c r="S298" s="5" t="s">
        <v>96</v>
      </c>
      <c r="T298" s="5" t="n">
        <v>33</v>
      </c>
      <c r="U298" s="5" t="s">
        <v>80</v>
      </c>
      <c r="V298" s="5" t="s">
        <v>992</v>
      </c>
    </row>
    <row r="299" customFormat="false" ht="15" hidden="false" customHeight="false" outlineLevel="0" collapsed="false">
      <c r="A299" s="5" t="n">
        <v>298</v>
      </c>
      <c r="B299" s="5" t="s">
        <v>993</v>
      </c>
      <c r="C299" s="6" t="s">
        <v>49</v>
      </c>
      <c r="D299" s="5" t="s">
        <v>99</v>
      </c>
      <c r="E299" s="5" t="s">
        <v>100</v>
      </c>
      <c r="F299" s="5" t="s">
        <v>76</v>
      </c>
      <c r="G299" s="5" t="s">
        <v>101</v>
      </c>
      <c r="H299" s="5" t="s">
        <v>279</v>
      </c>
      <c r="I299" s="5" t="s">
        <v>94</v>
      </c>
      <c r="J299" s="7" t="n">
        <v>3386</v>
      </c>
      <c r="K299" s="8" t="n">
        <v>3510</v>
      </c>
      <c r="L299" s="8" t="n">
        <v>23</v>
      </c>
      <c r="M299" s="8" t="n">
        <v>56012</v>
      </c>
      <c r="N299" s="8" t="n">
        <v>729362</v>
      </c>
      <c r="O299" s="5" t="n">
        <v>35.3</v>
      </c>
      <c r="P299" s="9" t="n">
        <v>4.64</v>
      </c>
      <c r="Q299" s="5" t="n">
        <v>0.41</v>
      </c>
      <c r="R299" s="5" t="s">
        <v>95</v>
      </c>
      <c r="S299" s="5" t="s">
        <v>96</v>
      </c>
      <c r="T299" s="5" t="n">
        <v>33</v>
      </c>
      <c r="U299" s="5" t="s">
        <v>80</v>
      </c>
      <c r="V299" s="5" t="s">
        <v>994</v>
      </c>
    </row>
    <row r="300" customFormat="false" ht="15" hidden="false" customHeight="false" outlineLevel="0" collapsed="false">
      <c r="A300" s="5" t="n">
        <v>299</v>
      </c>
      <c r="B300" s="5" t="s">
        <v>995</v>
      </c>
      <c r="C300" s="6" t="s">
        <v>49</v>
      </c>
      <c r="D300" s="5" t="s">
        <v>314</v>
      </c>
      <c r="E300" s="5" t="s">
        <v>315</v>
      </c>
      <c r="F300" s="5" t="s">
        <v>76</v>
      </c>
      <c r="G300" s="5" t="s">
        <v>309</v>
      </c>
      <c r="H300" s="5" t="s">
        <v>316</v>
      </c>
      <c r="I300" s="5" t="s">
        <v>94</v>
      </c>
      <c r="J300" s="7" t="n">
        <v>3371</v>
      </c>
      <c r="K300" s="8" t="n">
        <v>3020</v>
      </c>
      <c r="L300" s="8" t="n">
        <v>31</v>
      </c>
      <c r="M300" s="8" t="n">
        <v>37749.77</v>
      </c>
      <c r="N300" s="8" t="n">
        <v>587849</v>
      </c>
      <c r="O300" s="5" t="n">
        <v>47</v>
      </c>
      <c r="P300" s="9" t="n">
        <v>5.73</v>
      </c>
      <c r="Q300" s="5" t="n">
        <v>2.32</v>
      </c>
      <c r="R300" s="5" t="s">
        <v>53</v>
      </c>
      <c r="S300" s="5" t="s">
        <v>165</v>
      </c>
      <c r="T300" s="5" t="n">
        <v>95</v>
      </c>
      <c r="U300" s="5" t="s">
        <v>80</v>
      </c>
      <c r="V300" s="5" t="s">
        <v>996</v>
      </c>
    </row>
    <row r="301" customFormat="false" ht="15" hidden="false" customHeight="false" outlineLevel="0" collapsed="false">
      <c r="A301" s="5" t="n">
        <v>300</v>
      </c>
      <c r="B301" s="5" t="s">
        <v>997</v>
      </c>
      <c r="C301" s="6" t="s">
        <v>49</v>
      </c>
      <c r="D301" s="5" t="s">
        <v>792</v>
      </c>
      <c r="E301" s="5" t="s">
        <v>793</v>
      </c>
      <c r="F301" s="5" t="s">
        <v>76</v>
      </c>
      <c r="G301" s="5" t="s">
        <v>101</v>
      </c>
      <c r="H301" s="5" t="s">
        <v>121</v>
      </c>
      <c r="I301" s="5" t="s">
        <v>109</v>
      </c>
      <c r="J301" s="7" t="n">
        <v>3370</v>
      </c>
      <c r="K301" s="8" t="n">
        <v>7550</v>
      </c>
      <c r="L301" s="8" t="n">
        <v>39</v>
      </c>
      <c r="M301" s="8" t="n">
        <v>23098.77</v>
      </c>
      <c r="N301" s="8" t="n">
        <v>857803</v>
      </c>
      <c r="O301" s="5" t="n">
        <v>17.7</v>
      </c>
      <c r="P301" s="9" t="n">
        <v>3.93</v>
      </c>
      <c r="Q301" s="5" t="n">
        <v>2.21</v>
      </c>
      <c r="R301" s="5" t="s">
        <v>95</v>
      </c>
      <c r="S301" s="5" t="s">
        <v>184</v>
      </c>
      <c r="T301" s="5" t="n">
        <v>64</v>
      </c>
      <c r="U301" s="5" t="s">
        <v>80</v>
      </c>
      <c r="V301" s="5" t="s">
        <v>998</v>
      </c>
    </row>
    <row r="302" customFormat="false" ht="15" hidden="false" customHeight="false" outlineLevel="0" collapsed="false">
      <c r="A302" s="5" t="n">
        <v>301</v>
      </c>
      <c r="B302" s="5" t="s">
        <v>999</v>
      </c>
      <c r="C302" s="6" t="s">
        <v>49</v>
      </c>
      <c r="D302" s="5" t="s">
        <v>803</v>
      </c>
      <c r="E302" s="5" t="s">
        <v>804</v>
      </c>
      <c r="F302" s="5" t="s">
        <v>76</v>
      </c>
      <c r="G302" s="5" t="s">
        <v>101</v>
      </c>
      <c r="H302" s="5" t="s">
        <v>1000</v>
      </c>
      <c r="I302" s="5" t="s">
        <v>290</v>
      </c>
      <c r="J302" s="7" t="n">
        <v>3362</v>
      </c>
      <c r="K302" s="8" t="n">
        <v>15100</v>
      </c>
      <c r="L302" s="8" t="n">
        <v>36</v>
      </c>
      <c r="M302" s="8" t="n">
        <v>49969.44</v>
      </c>
      <c r="N302" s="8" t="n">
        <v>826192</v>
      </c>
      <c r="O302" s="5" t="n">
        <v>18.7</v>
      </c>
      <c r="P302" s="9" t="n">
        <v>4.07</v>
      </c>
      <c r="Q302" s="5" t="n">
        <v>0.5</v>
      </c>
      <c r="R302" s="5" t="s">
        <v>53</v>
      </c>
      <c r="S302" s="5" t="s">
        <v>79</v>
      </c>
      <c r="T302" s="5" t="n">
        <v>96</v>
      </c>
      <c r="U302" s="5" t="s">
        <v>80</v>
      </c>
      <c r="V302" s="5" t="s">
        <v>1001</v>
      </c>
    </row>
    <row r="303" customFormat="false" ht="15" hidden="false" customHeight="false" outlineLevel="0" collapsed="false">
      <c r="A303" s="5" t="n">
        <v>302</v>
      </c>
      <c r="B303" s="5" t="s">
        <v>1002</v>
      </c>
      <c r="C303" s="6" t="s">
        <v>49</v>
      </c>
      <c r="D303" s="5" t="s">
        <v>282</v>
      </c>
      <c r="E303" s="5" t="s">
        <v>283</v>
      </c>
      <c r="F303" s="5" t="s">
        <v>76</v>
      </c>
      <c r="G303" s="5" t="s">
        <v>101</v>
      </c>
      <c r="H303" s="5" t="s">
        <v>284</v>
      </c>
      <c r="I303" s="5" t="s">
        <v>94</v>
      </c>
      <c r="J303" s="7" t="n">
        <v>3356</v>
      </c>
      <c r="K303" s="8" t="n">
        <v>3050</v>
      </c>
      <c r="L303" s="8" t="n">
        <v>43</v>
      </c>
      <c r="M303" s="8" t="n">
        <v>39362.26</v>
      </c>
      <c r="N303" s="8" t="n">
        <v>1627832</v>
      </c>
      <c r="O303" s="5" t="n">
        <v>14.7</v>
      </c>
      <c r="P303" s="9" t="n">
        <v>2.06</v>
      </c>
      <c r="Q303" s="5" t="n">
        <v>0.25</v>
      </c>
      <c r="R303" s="5" t="s">
        <v>53</v>
      </c>
      <c r="S303" s="5" t="s">
        <v>184</v>
      </c>
      <c r="T303" s="5" t="n">
        <v>64</v>
      </c>
      <c r="U303" s="5" t="s">
        <v>80</v>
      </c>
      <c r="V303" s="5" t="s">
        <v>1003</v>
      </c>
    </row>
    <row r="304" customFormat="false" ht="15" hidden="false" customHeight="false" outlineLevel="0" collapsed="false">
      <c r="A304" s="5" t="n">
        <v>303</v>
      </c>
      <c r="B304" s="5" t="s">
        <v>1004</v>
      </c>
      <c r="C304" s="6" t="s">
        <v>49</v>
      </c>
      <c r="D304" s="5" t="s">
        <v>685</v>
      </c>
      <c r="E304" s="5" t="s">
        <v>686</v>
      </c>
      <c r="F304" s="5" t="s">
        <v>76</v>
      </c>
      <c r="G304" s="5" t="s">
        <v>1005</v>
      </c>
      <c r="H304" s="5" t="s">
        <v>412</v>
      </c>
      <c r="I304" s="5" t="s">
        <v>94</v>
      </c>
      <c r="J304" s="7" t="n">
        <v>3337</v>
      </c>
      <c r="K304" s="8" t="n">
        <v>3690</v>
      </c>
      <c r="L304" s="8" t="n">
        <v>50</v>
      </c>
      <c r="M304" s="8" t="n">
        <v>19204.28</v>
      </c>
      <c r="N304" s="8" t="n">
        <v>639521</v>
      </c>
      <c r="O304" s="5" t="n">
        <v>30.4</v>
      </c>
      <c r="P304" s="9" t="n">
        <v>5.22</v>
      </c>
      <c r="Q304" s="5" t="n">
        <v>1.59</v>
      </c>
      <c r="R304" s="5" t="s">
        <v>53</v>
      </c>
      <c r="S304" s="5" t="s">
        <v>184</v>
      </c>
      <c r="T304" s="5" t="n">
        <v>64</v>
      </c>
      <c r="U304" s="5" t="s">
        <v>80</v>
      </c>
      <c r="V304" s="5" t="s">
        <v>1006</v>
      </c>
    </row>
    <row r="305" customFormat="false" ht="15" hidden="false" customHeight="false" outlineLevel="0" collapsed="false">
      <c r="A305" s="5" t="n">
        <v>304</v>
      </c>
      <c r="B305" s="5" t="s">
        <v>1007</v>
      </c>
      <c r="C305" s="6" t="s">
        <v>49</v>
      </c>
      <c r="D305" s="5" t="s">
        <v>314</v>
      </c>
      <c r="E305" s="5" t="s">
        <v>315</v>
      </c>
      <c r="F305" s="5" t="s">
        <v>76</v>
      </c>
      <c r="G305" s="5" t="s">
        <v>450</v>
      </c>
      <c r="H305" s="5" t="s">
        <v>1008</v>
      </c>
      <c r="I305" s="5" t="s">
        <v>94</v>
      </c>
      <c r="J305" s="7" t="n">
        <v>3333</v>
      </c>
      <c r="K305" s="8" t="n">
        <v>1950</v>
      </c>
      <c r="L305" s="8" t="n">
        <v>17</v>
      </c>
      <c r="M305" s="8" t="n">
        <v>87905.12</v>
      </c>
      <c r="N305" s="8" t="n">
        <v>885522</v>
      </c>
      <c r="O305" s="5" t="n">
        <v>10.2</v>
      </c>
      <c r="P305" s="9" t="n">
        <v>3.76</v>
      </c>
      <c r="Q305" s="5" t="n">
        <v>0.13</v>
      </c>
      <c r="R305" s="5" t="s">
        <v>95</v>
      </c>
      <c r="S305" s="5" t="s">
        <v>184</v>
      </c>
      <c r="T305" s="5" t="n">
        <v>64</v>
      </c>
      <c r="U305" s="5" t="s">
        <v>80</v>
      </c>
      <c r="V305" s="5" t="s">
        <v>1009</v>
      </c>
    </row>
    <row r="306" customFormat="false" ht="15" hidden="false" customHeight="false" outlineLevel="0" collapsed="false">
      <c r="A306" s="5" t="n">
        <v>305</v>
      </c>
      <c r="B306" s="5" t="s">
        <v>1010</v>
      </c>
      <c r="C306" s="6" t="s">
        <v>49</v>
      </c>
      <c r="D306" s="5" t="s">
        <v>139</v>
      </c>
      <c r="E306" s="5" t="s">
        <v>140</v>
      </c>
      <c r="F306" s="5" t="s">
        <v>76</v>
      </c>
      <c r="G306" s="5" t="s">
        <v>101</v>
      </c>
      <c r="H306" s="5" t="s">
        <v>93</v>
      </c>
      <c r="I306" s="5" t="s">
        <v>109</v>
      </c>
      <c r="J306" s="7" t="n">
        <v>3332</v>
      </c>
      <c r="K306" s="8" t="n">
        <v>9640</v>
      </c>
      <c r="L306" s="8" t="n">
        <v>29</v>
      </c>
      <c r="M306" s="8" t="n">
        <v>106140.31</v>
      </c>
      <c r="N306" s="8" t="n">
        <v>2874567</v>
      </c>
      <c r="O306" s="5" t="n">
        <v>12.8</v>
      </c>
      <c r="P306" s="9" t="n">
        <v>1.16</v>
      </c>
      <c r="Q306" s="5" t="n">
        <v>0.71</v>
      </c>
      <c r="R306" s="5" t="s">
        <v>95</v>
      </c>
      <c r="S306" s="5" t="s">
        <v>184</v>
      </c>
      <c r="T306" s="5" t="n">
        <v>64</v>
      </c>
      <c r="U306" s="5" t="s">
        <v>80</v>
      </c>
      <c r="V306" s="5" t="s">
        <v>1011</v>
      </c>
    </row>
    <row r="307" customFormat="false" ht="15" hidden="false" customHeight="false" outlineLevel="0" collapsed="false">
      <c r="A307" s="5" t="n">
        <v>306</v>
      </c>
      <c r="B307" s="5" t="s">
        <v>1012</v>
      </c>
      <c r="C307" s="6" t="s">
        <v>49</v>
      </c>
      <c r="D307" s="5" t="s">
        <v>792</v>
      </c>
      <c r="E307" s="5" t="s">
        <v>793</v>
      </c>
      <c r="F307" s="5" t="s">
        <v>76</v>
      </c>
      <c r="G307" s="5" t="s">
        <v>101</v>
      </c>
      <c r="H307" s="5" t="s">
        <v>121</v>
      </c>
      <c r="I307" s="5" t="s">
        <v>109</v>
      </c>
      <c r="J307" s="7" t="n">
        <v>3331</v>
      </c>
      <c r="K307" s="8" t="n">
        <v>2000</v>
      </c>
      <c r="L307" s="8" t="n">
        <v>16</v>
      </c>
      <c r="M307" s="8" t="n">
        <v>67925</v>
      </c>
      <c r="N307" s="8" t="n">
        <v>943063</v>
      </c>
      <c r="O307" s="5" t="n">
        <v>8.5</v>
      </c>
      <c r="P307" s="9" t="n">
        <v>3.53</v>
      </c>
      <c r="Q307" s="5" t="n">
        <v>22.5</v>
      </c>
      <c r="R307" s="5" t="s">
        <v>53</v>
      </c>
      <c r="S307" s="5" t="s">
        <v>96</v>
      </c>
      <c r="T307" s="5" t="n">
        <v>33</v>
      </c>
      <c r="U307" s="5" t="s">
        <v>80</v>
      </c>
      <c r="V307" s="5" t="s">
        <v>1013</v>
      </c>
    </row>
    <row r="308" customFormat="false" ht="15" hidden="false" customHeight="false" outlineLevel="0" collapsed="false">
      <c r="A308" s="5" t="n">
        <v>307</v>
      </c>
      <c r="B308" s="5" t="s">
        <v>1014</v>
      </c>
      <c r="C308" s="6" t="s">
        <v>49</v>
      </c>
      <c r="D308" s="5" t="s">
        <v>50</v>
      </c>
      <c r="E308" s="5" t="s">
        <v>51</v>
      </c>
      <c r="F308" s="5" t="s">
        <v>76</v>
      </c>
      <c r="G308" s="5" t="s">
        <v>101</v>
      </c>
      <c r="H308" s="5" t="s">
        <v>745</v>
      </c>
      <c r="I308" s="5" t="s">
        <v>159</v>
      </c>
      <c r="J308" s="7" t="n">
        <v>3325</v>
      </c>
      <c r="K308" s="8" t="n">
        <v>2770</v>
      </c>
      <c r="L308" s="8" t="n">
        <v>9</v>
      </c>
      <c r="M308" s="8" t="n">
        <v>89034.22</v>
      </c>
      <c r="N308" s="8" t="n">
        <v>800377</v>
      </c>
      <c r="O308" s="5" t="n">
        <v>69.5</v>
      </c>
      <c r="P308" s="9" t="n">
        <v>4.15</v>
      </c>
      <c r="Q308" s="5" t="n">
        <v>12.35</v>
      </c>
      <c r="R308" s="5" t="s">
        <v>53</v>
      </c>
      <c r="S308" s="5" t="s">
        <v>96</v>
      </c>
      <c r="T308" s="5" t="n">
        <v>33</v>
      </c>
      <c r="U308" s="5" t="s">
        <v>80</v>
      </c>
      <c r="V308" s="5" t="s">
        <v>1015</v>
      </c>
    </row>
    <row r="309" customFormat="false" ht="15" hidden="false" customHeight="false" outlineLevel="0" collapsed="false">
      <c r="A309" s="5" t="n">
        <v>308</v>
      </c>
      <c r="B309" s="5" t="s">
        <v>1016</v>
      </c>
      <c r="C309" s="6" t="s">
        <v>49</v>
      </c>
      <c r="D309" s="5" t="s">
        <v>187</v>
      </c>
      <c r="E309" s="5" t="s">
        <v>188</v>
      </c>
      <c r="F309" s="5" t="s">
        <v>156</v>
      </c>
      <c r="G309" s="5"/>
      <c r="H309" s="5" t="s">
        <v>540</v>
      </c>
      <c r="I309" s="5" t="s">
        <v>122</v>
      </c>
      <c r="J309" s="7" t="n">
        <v>3294</v>
      </c>
      <c r="K309" s="8" t="n">
        <v>11600</v>
      </c>
      <c r="L309" s="8" t="n">
        <v>57</v>
      </c>
      <c r="M309" s="8" t="n">
        <v>16370.18</v>
      </c>
      <c r="N309" s="8" t="n">
        <v>615778</v>
      </c>
      <c r="O309" s="5" t="n">
        <v>37.9</v>
      </c>
      <c r="P309" s="9" t="n">
        <v>5.35</v>
      </c>
      <c r="Q309" s="5" t="n">
        <v>1.2</v>
      </c>
      <c r="R309" s="5" t="s">
        <v>95</v>
      </c>
      <c r="S309" s="5" t="s">
        <v>96</v>
      </c>
      <c r="T309" s="5" t="n">
        <v>33</v>
      </c>
      <c r="U309" s="5" t="s">
        <v>80</v>
      </c>
      <c r="V309" s="5" t="s">
        <v>1017</v>
      </c>
    </row>
    <row r="310" customFormat="false" ht="15" hidden="false" customHeight="false" outlineLevel="0" collapsed="false">
      <c r="A310" s="5" t="n">
        <v>309</v>
      </c>
      <c r="B310" s="5" t="s">
        <v>1018</v>
      </c>
      <c r="C310" s="6" t="s">
        <v>49</v>
      </c>
      <c r="D310" s="5" t="s">
        <v>129</v>
      </c>
      <c r="E310" s="5" t="s">
        <v>130</v>
      </c>
      <c r="F310" s="5" t="s">
        <v>212</v>
      </c>
      <c r="G310" s="5"/>
      <c r="H310" s="5" t="s">
        <v>131</v>
      </c>
      <c r="I310" s="5" t="s">
        <v>94</v>
      </c>
      <c r="J310" s="7" t="n">
        <v>3270</v>
      </c>
      <c r="K310" s="8" t="n">
        <v>8860</v>
      </c>
      <c r="L310" s="8" t="n">
        <v>12</v>
      </c>
      <c r="M310" s="8" t="n">
        <v>117425</v>
      </c>
      <c r="N310" s="8" t="n">
        <v>883167</v>
      </c>
      <c r="O310" s="5" t="n">
        <v>23.9</v>
      </c>
      <c r="P310" s="9" t="n">
        <v>3.7</v>
      </c>
      <c r="Q310" s="5" t="n">
        <v>20.44</v>
      </c>
      <c r="R310" s="5" t="s">
        <v>53</v>
      </c>
      <c r="S310" s="5" t="s">
        <v>96</v>
      </c>
      <c r="T310" s="5" t="n">
        <v>33</v>
      </c>
      <c r="U310" s="5" t="s">
        <v>80</v>
      </c>
      <c r="V310" s="5" t="s">
        <v>1019</v>
      </c>
    </row>
    <row r="311" customFormat="false" ht="15" hidden="false" customHeight="false" outlineLevel="0" collapsed="false">
      <c r="A311" s="5" t="n">
        <v>310</v>
      </c>
      <c r="B311" s="5" t="s">
        <v>1020</v>
      </c>
      <c r="C311" s="6" t="s">
        <v>49</v>
      </c>
      <c r="D311" s="5" t="s">
        <v>399</v>
      </c>
      <c r="E311" s="5" t="s">
        <v>400</v>
      </c>
      <c r="F311" s="5" t="s">
        <v>212</v>
      </c>
      <c r="G311" s="5" t="s">
        <v>219</v>
      </c>
      <c r="H311" s="5" t="s">
        <v>401</v>
      </c>
      <c r="I311" s="5" t="s">
        <v>122</v>
      </c>
      <c r="J311" s="7" t="n">
        <v>3268</v>
      </c>
      <c r="K311" s="8" t="n">
        <v>21200</v>
      </c>
      <c r="L311" s="8" t="n">
        <v>148</v>
      </c>
      <c r="M311" s="8" t="n">
        <v>26815.51</v>
      </c>
      <c r="N311" s="8" t="n">
        <v>2151715</v>
      </c>
      <c r="O311" s="5" t="n">
        <v>80.5</v>
      </c>
      <c r="P311" s="9" t="n">
        <v>1.52</v>
      </c>
      <c r="Q311" s="5" t="n">
        <v>0.74</v>
      </c>
      <c r="R311" s="5" t="s">
        <v>95</v>
      </c>
      <c r="S311" s="5" t="s">
        <v>462</v>
      </c>
      <c r="T311" s="5" t="n">
        <v>94</v>
      </c>
      <c r="U311" s="5" t="s">
        <v>80</v>
      </c>
      <c r="V311" s="5" t="s">
        <v>1021</v>
      </c>
    </row>
    <row r="312" customFormat="false" ht="15" hidden="false" customHeight="false" outlineLevel="0" collapsed="false">
      <c r="A312" s="5" t="n">
        <v>311</v>
      </c>
      <c r="B312" s="5" t="s">
        <v>1022</v>
      </c>
      <c r="C312" s="6" t="s">
        <v>49</v>
      </c>
      <c r="D312" s="5" t="s">
        <v>545</v>
      </c>
      <c r="E312" s="5" t="s">
        <v>546</v>
      </c>
      <c r="F312" s="5" t="s">
        <v>212</v>
      </c>
      <c r="G312" s="5" t="s">
        <v>101</v>
      </c>
      <c r="H312" s="5" t="s">
        <v>614</v>
      </c>
      <c r="I312" s="5" t="s">
        <v>94</v>
      </c>
      <c r="J312" s="7" t="n">
        <v>3248</v>
      </c>
      <c r="K312" s="8" t="n">
        <v>14600</v>
      </c>
      <c r="L312" s="8" t="n">
        <v>7</v>
      </c>
      <c r="M312" s="8" t="n">
        <v>525285.71</v>
      </c>
      <c r="N312" s="8" t="n">
        <v>2129954</v>
      </c>
      <c r="O312" s="5" t="n">
        <v>39.4</v>
      </c>
      <c r="P312" s="9" t="n">
        <v>1.52</v>
      </c>
      <c r="Q312" s="5" t="n">
        <v>40.7</v>
      </c>
      <c r="R312" s="5" t="s">
        <v>53</v>
      </c>
      <c r="S312" s="5" t="s">
        <v>184</v>
      </c>
      <c r="T312" s="5" t="n">
        <v>64</v>
      </c>
      <c r="U312" s="5" t="s">
        <v>80</v>
      </c>
      <c r="V312" s="5" t="s">
        <v>1023</v>
      </c>
    </row>
    <row r="313" customFormat="false" ht="15" hidden="false" customHeight="false" outlineLevel="0" collapsed="false">
      <c r="A313" s="5" t="n">
        <v>312</v>
      </c>
      <c r="B313" s="5" t="s">
        <v>1024</v>
      </c>
      <c r="C313" s="6" t="s">
        <v>49</v>
      </c>
      <c r="D313" s="5" t="s">
        <v>139</v>
      </c>
      <c r="E313" s="5" t="s">
        <v>140</v>
      </c>
      <c r="F313" s="5" t="s">
        <v>76</v>
      </c>
      <c r="G313" s="5" t="s">
        <v>324</v>
      </c>
      <c r="H313" s="5" t="s">
        <v>93</v>
      </c>
      <c r="I313" s="5" t="s">
        <v>94</v>
      </c>
      <c r="J313" s="7" t="n">
        <v>3247</v>
      </c>
      <c r="K313" s="8" t="n">
        <v>1390</v>
      </c>
      <c r="L313" s="8" t="n">
        <v>11</v>
      </c>
      <c r="M313" s="8" t="n">
        <v>249769</v>
      </c>
      <c r="N313" s="8" t="n">
        <v>2743535</v>
      </c>
      <c r="O313" s="5" t="n">
        <v>9.2</v>
      </c>
      <c r="P313" s="9" t="n">
        <v>1.18</v>
      </c>
      <c r="Q313" s="5" t="n">
        <v>1.38</v>
      </c>
      <c r="R313" s="5" t="s">
        <v>95</v>
      </c>
      <c r="S313" s="5" t="s">
        <v>96</v>
      </c>
      <c r="T313" s="5" t="n">
        <v>33</v>
      </c>
      <c r="U313" s="5" t="s">
        <v>80</v>
      </c>
      <c r="V313" s="5" t="s">
        <v>1025</v>
      </c>
    </row>
    <row r="314" customFormat="false" ht="15" hidden="false" customHeight="false" outlineLevel="0" collapsed="false">
      <c r="A314" s="5" t="n">
        <v>313</v>
      </c>
      <c r="B314" s="5" t="s">
        <v>1026</v>
      </c>
      <c r="C314" s="6" t="s">
        <v>49</v>
      </c>
      <c r="D314" s="5" t="s">
        <v>205</v>
      </c>
      <c r="E314" s="5" t="s">
        <v>206</v>
      </c>
      <c r="F314" s="5" t="s">
        <v>76</v>
      </c>
      <c r="G314" s="5" t="s">
        <v>101</v>
      </c>
      <c r="H314" s="5" t="s">
        <v>207</v>
      </c>
      <c r="I314" s="5" t="s">
        <v>109</v>
      </c>
      <c r="J314" s="7" t="n">
        <v>3202</v>
      </c>
      <c r="K314" s="8" t="n">
        <v>4440</v>
      </c>
      <c r="L314" s="8" t="n">
        <v>53</v>
      </c>
      <c r="M314" s="8" t="n">
        <v>9925.72</v>
      </c>
      <c r="N314" s="8" t="n">
        <v>333258</v>
      </c>
      <c r="O314" s="5" t="n">
        <v>46.1</v>
      </c>
      <c r="P314" s="9" t="n">
        <v>9.61</v>
      </c>
      <c r="Q314" s="5" t="n">
        <v>0.27</v>
      </c>
      <c r="R314" s="5" t="s">
        <v>53</v>
      </c>
      <c r="S314" s="5" t="s">
        <v>184</v>
      </c>
      <c r="T314" s="5" t="n">
        <v>64</v>
      </c>
      <c r="U314" s="5" t="s">
        <v>80</v>
      </c>
      <c r="V314" s="5" t="s">
        <v>1027</v>
      </c>
    </row>
    <row r="315" customFormat="false" ht="15" hidden="false" customHeight="false" outlineLevel="0" collapsed="false">
      <c r="A315" s="5" t="n">
        <v>314</v>
      </c>
      <c r="B315" s="5" t="s">
        <v>1028</v>
      </c>
      <c r="C315" s="6" t="s">
        <v>49</v>
      </c>
      <c r="D315" s="5" t="s">
        <v>210</v>
      </c>
      <c r="E315" s="5" t="s">
        <v>211</v>
      </c>
      <c r="F315" s="5" t="s">
        <v>76</v>
      </c>
      <c r="G315" s="5" t="s">
        <v>101</v>
      </c>
      <c r="H315" s="5" t="s">
        <v>214</v>
      </c>
      <c r="I315" s="5" t="s">
        <v>94</v>
      </c>
      <c r="J315" s="7" t="n">
        <v>3195</v>
      </c>
      <c r="K315" s="8" t="n">
        <v>3480</v>
      </c>
      <c r="L315" s="8" t="n">
        <v>37</v>
      </c>
      <c r="M315" s="8" t="n">
        <v>39612.62</v>
      </c>
      <c r="N315" s="8" t="n">
        <v>565016</v>
      </c>
      <c r="O315" s="5" t="n">
        <v>61.6</v>
      </c>
      <c r="P315" s="9" t="n">
        <v>5.65</v>
      </c>
      <c r="Q315" s="5" t="n">
        <v>4.12</v>
      </c>
      <c r="R315" s="5" t="s">
        <v>95</v>
      </c>
      <c r="S315" s="5" t="s">
        <v>79</v>
      </c>
      <c r="T315" s="5" t="n">
        <v>96</v>
      </c>
      <c r="U315" s="5" t="s">
        <v>80</v>
      </c>
      <c r="V315" s="5" t="s">
        <v>1029</v>
      </c>
    </row>
    <row r="316" customFormat="false" ht="15" hidden="false" customHeight="false" outlineLevel="0" collapsed="false">
      <c r="A316" s="5" t="n">
        <v>315</v>
      </c>
      <c r="B316" s="5" t="s">
        <v>1030</v>
      </c>
      <c r="C316" s="6" t="s">
        <v>49</v>
      </c>
      <c r="D316" s="5" t="s">
        <v>633</v>
      </c>
      <c r="E316" s="5" t="s">
        <v>634</v>
      </c>
      <c r="F316" s="5" t="s">
        <v>212</v>
      </c>
      <c r="G316" s="5" t="s">
        <v>213</v>
      </c>
      <c r="H316" s="5" t="s">
        <v>248</v>
      </c>
      <c r="I316" s="5" t="s">
        <v>94</v>
      </c>
      <c r="J316" s="7" t="n">
        <v>3182</v>
      </c>
      <c r="K316" s="8" t="n">
        <v>22600</v>
      </c>
      <c r="L316" s="8" t="n">
        <v>190</v>
      </c>
      <c r="M316" s="8" t="n">
        <v>21801.69</v>
      </c>
      <c r="N316" s="8" t="n">
        <v>1645680</v>
      </c>
      <c r="O316" s="5" t="n">
        <v>25.5</v>
      </c>
      <c r="P316" s="9" t="n">
        <v>1.93</v>
      </c>
      <c r="Q316" s="5" t="n">
        <v>0.46</v>
      </c>
      <c r="R316" s="5" t="s">
        <v>53</v>
      </c>
      <c r="S316" s="5" t="s">
        <v>165</v>
      </c>
      <c r="T316" s="5" t="n">
        <v>95</v>
      </c>
      <c r="U316" s="5" t="s">
        <v>80</v>
      </c>
      <c r="V316" s="5" t="s">
        <v>1031</v>
      </c>
    </row>
    <row r="317" customFormat="false" ht="15" hidden="false" customHeight="false" outlineLevel="0" collapsed="false">
      <c r="A317" s="5" t="n">
        <v>316</v>
      </c>
      <c r="B317" s="5" t="s">
        <v>1032</v>
      </c>
      <c r="C317" s="6" t="s">
        <v>49</v>
      </c>
      <c r="D317" s="5" t="s">
        <v>83</v>
      </c>
      <c r="E317" s="5" t="s">
        <v>84</v>
      </c>
      <c r="F317" s="5" t="s">
        <v>76</v>
      </c>
      <c r="G317" s="5" t="s">
        <v>92</v>
      </c>
      <c r="H317" s="5" t="s">
        <v>1033</v>
      </c>
      <c r="I317" s="5" t="s">
        <v>256</v>
      </c>
      <c r="J317" s="7" t="n">
        <v>3176</v>
      </c>
      <c r="K317" s="8" t="n">
        <v>3490</v>
      </c>
      <c r="L317" s="8" t="n">
        <v>7</v>
      </c>
      <c r="M317" s="8" t="n">
        <v>192600</v>
      </c>
      <c r="N317" s="8" t="n">
        <v>477299</v>
      </c>
      <c r="O317" s="5" t="n">
        <v>5.8</v>
      </c>
      <c r="P317" s="9" t="n">
        <v>6.66</v>
      </c>
      <c r="Q317" s="5" t="n">
        <v>22.06</v>
      </c>
      <c r="R317" s="5" t="s">
        <v>53</v>
      </c>
      <c r="S317" s="5" t="s">
        <v>116</v>
      </c>
      <c r="T317" s="5" t="n">
        <v>126</v>
      </c>
      <c r="U317" s="5" t="s">
        <v>80</v>
      </c>
      <c r="V317" s="5" t="s">
        <v>1034</v>
      </c>
    </row>
    <row r="318" customFormat="false" ht="15" hidden="false" customHeight="false" outlineLevel="0" collapsed="false">
      <c r="A318" s="5" t="n">
        <v>317</v>
      </c>
      <c r="B318" s="5" t="s">
        <v>1035</v>
      </c>
      <c r="C318" s="6" t="s">
        <v>49</v>
      </c>
      <c r="D318" s="5" t="s">
        <v>575</v>
      </c>
      <c r="E318" s="5" t="s">
        <v>576</v>
      </c>
      <c r="F318" s="5" t="s">
        <v>212</v>
      </c>
      <c r="G318" s="5" t="s">
        <v>101</v>
      </c>
      <c r="H318" s="5" t="s">
        <v>412</v>
      </c>
      <c r="I318" s="5" t="s">
        <v>122</v>
      </c>
      <c r="J318" s="7" t="n">
        <v>3169</v>
      </c>
      <c r="K318" s="8" t="n">
        <v>8160</v>
      </c>
      <c r="L318" s="8" t="n">
        <v>94</v>
      </c>
      <c r="M318" s="8" t="n">
        <v>31790.94</v>
      </c>
      <c r="N318" s="8" t="n">
        <v>1603440</v>
      </c>
      <c r="O318" s="5" t="n">
        <v>33.3</v>
      </c>
      <c r="P318" s="9" t="n">
        <v>1.98</v>
      </c>
      <c r="Q318" s="5" t="n">
        <v>2.56</v>
      </c>
      <c r="R318" s="5" t="s">
        <v>95</v>
      </c>
      <c r="S318" s="5" t="s">
        <v>165</v>
      </c>
      <c r="T318" s="5" t="n">
        <v>95</v>
      </c>
      <c r="U318" s="5" t="s">
        <v>80</v>
      </c>
      <c r="V318" s="5" t="s">
        <v>1036</v>
      </c>
    </row>
    <row r="319" customFormat="false" ht="15" hidden="false" customHeight="false" outlineLevel="0" collapsed="false">
      <c r="A319" s="5" t="n">
        <v>318</v>
      </c>
      <c r="B319" s="5" t="s">
        <v>1037</v>
      </c>
      <c r="C319" s="6" t="s">
        <v>49</v>
      </c>
      <c r="D319" s="5" t="s">
        <v>307</v>
      </c>
      <c r="E319" s="5" t="s">
        <v>308</v>
      </c>
      <c r="F319" s="5" t="s">
        <v>76</v>
      </c>
      <c r="G319" s="5" t="s">
        <v>101</v>
      </c>
      <c r="H319" s="5" t="s">
        <v>310</v>
      </c>
      <c r="I319" s="5" t="s">
        <v>78</v>
      </c>
      <c r="J319" s="7" t="n">
        <v>3154</v>
      </c>
      <c r="K319" s="8" t="n">
        <v>2770</v>
      </c>
      <c r="L319" s="8" t="n">
        <v>77</v>
      </c>
      <c r="M319" s="8" t="n">
        <v>17808.83</v>
      </c>
      <c r="N319" s="8" t="n">
        <v>660286</v>
      </c>
      <c r="O319" s="5" t="n">
        <v>39.9</v>
      </c>
      <c r="P319" s="9" t="n">
        <v>4.78</v>
      </c>
      <c r="Q319" s="5" t="n">
        <v>2.59</v>
      </c>
      <c r="R319" s="5" t="s">
        <v>53</v>
      </c>
      <c r="S319" s="5" t="s">
        <v>103</v>
      </c>
      <c r="T319" s="5" t="n">
        <v>65</v>
      </c>
      <c r="U319" s="5" t="s">
        <v>80</v>
      </c>
      <c r="V319" s="5" t="s">
        <v>1038</v>
      </c>
    </row>
    <row r="320" customFormat="false" ht="15" hidden="false" customHeight="false" outlineLevel="0" collapsed="false">
      <c r="A320" s="5" t="n">
        <v>319</v>
      </c>
      <c r="B320" s="5" t="s">
        <v>1039</v>
      </c>
      <c r="C320" s="6" t="s">
        <v>49</v>
      </c>
      <c r="D320" s="5" t="s">
        <v>418</v>
      </c>
      <c r="E320" s="5" t="s">
        <v>419</v>
      </c>
      <c r="F320" s="5" t="s">
        <v>212</v>
      </c>
      <c r="G320" s="5" t="s">
        <v>1040</v>
      </c>
      <c r="H320" s="5" t="s">
        <v>93</v>
      </c>
      <c r="I320" s="5" t="s">
        <v>94</v>
      </c>
      <c r="J320" s="7" t="n">
        <v>3137</v>
      </c>
      <c r="K320" s="8" t="n">
        <v>25000</v>
      </c>
      <c r="L320" s="8" t="n">
        <v>19</v>
      </c>
      <c r="M320" s="8" t="n">
        <v>259731.58</v>
      </c>
      <c r="N320" s="8" t="n">
        <v>2558280</v>
      </c>
      <c r="O320" s="5" t="n">
        <v>15</v>
      </c>
      <c r="P320" s="9" t="n">
        <v>1.23</v>
      </c>
      <c r="Q320" s="5" t="n">
        <v>13.8</v>
      </c>
      <c r="R320" s="5" t="s">
        <v>53</v>
      </c>
      <c r="S320" s="5" t="s">
        <v>184</v>
      </c>
      <c r="T320" s="5" t="n">
        <v>64</v>
      </c>
      <c r="U320" s="5" t="s">
        <v>80</v>
      </c>
      <c r="V320" s="5" t="s">
        <v>1041</v>
      </c>
    </row>
    <row r="321" customFormat="false" ht="15" hidden="false" customHeight="false" outlineLevel="0" collapsed="false">
      <c r="A321" s="5" t="n">
        <v>320</v>
      </c>
      <c r="B321" s="5" t="s">
        <v>1042</v>
      </c>
      <c r="C321" s="6" t="s">
        <v>49</v>
      </c>
      <c r="D321" s="5" t="s">
        <v>404</v>
      </c>
      <c r="E321" s="5" t="s">
        <v>405</v>
      </c>
      <c r="F321" s="5" t="s">
        <v>76</v>
      </c>
      <c r="G321" s="5"/>
      <c r="H321" s="5" t="s">
        <v>131</v>
      </c>
      <c r="I321" s="5" t="s">
        <v>94</v>
      </c>
      <c r="J321" s="7" t="n">
        <v>3128</v>
      </c>
      <c r="K321" s="8" t="n">
        <v>18000</v>
      </c>
      <c r="L321" s="8" t="n">
        <v>27</v>
      </c>
      <c r="M321" s="8" t="n">
        <v>76276.63</v>
      </c>
      <c r="N321" s="8" t="n">
        <v>272345</v>
      </c>
      <c r="O321" s="5" t="n">
        <v>66</v>
      </c>
      <c r="P321" s="9" t="n">
        <v>11.49</v>
      </c>
      <c r="Q321" s="5" t="n">
        <v>4</v>
      </c>
      <c r="R321" s="5" t="s">
        <v>95</v>
      </c>
      <c r="S321" s="5" t="s">
        <v>184</v>
      </c>
      <c r="T321" s="5" t="n">
        <v>64</v>
      </c>
      <c r="U321" s="5" t="s">
        <v>80</v>
      </c>
      <c r="V321" s="5" t="s">
        <v>1043</v>
      </c>
    </row>
    <row r="322" customFormat="false" ht="15" hidden="false" customHeight="false" outlineLevel="0" collapsed="false">
      <c r="A322" s="5" t="n">
        <v>321</v>
      </c>
      <c r="B322" s="5" t="s">
        <v>1044</v>
      </c>
      <c r="C322" s="6" t="s">
        <v>49</v>
      </c>
      <c r="D322" s="5" t="s">
        <v>1045</v>
      </c>
      <c r="E322" s="5" t="s">
        <v>1046</v>
      </c>
      <c r="F322" s="5" t="s">
        <v>91</v>
      </c>
      <c r="G322" s="5" t="s">
        <v>931</v>
      </c>
      <c r="H322" s="5" t="s">
        <v>1047</v>
      </c>
      <c r="I322" s="5" t="s">
        <v>94</v>
      </c>
      <c r="J322" s="7" t="n">
        <v>3117</v>
      </c>
      <c r="K322" s="8" t="n">
        <v>13700</v>
      </c>
      <c r="L322" s="8" t="n">
        <v>44</v>
      </c>
      <c r="M322" s="8" t="n">
        <v>42822.73</v>
      </c>
      <c r="N322" s="8" t="n">
        <v>617893</v>
      </c>
      <c r="O322" s="5" t="n">
        <v>23.6</v>
      </c>
      <c r="P322" s="9" t="n">
        <v>5.04</v>
      </c>
      <c r="Q322" s="5" t="n">
        <v>1.7</v>
      </c>
      <c r="R322" s="5" t="s">
        <v>53</v>
      </c>
      <c r="S322" s="5" t="s">
        <v>165</v>
      </c>
      <c r="T322" s="5" t="n">
        <v>95</v>
      </c>
      <c r="U322" s="5" t="s">
        <v>80</v>
      </c>
      <c r="V322" s="5" t="s">
        <v>1048</v>
      </c>
    </row>
    <row r="323" customFormat="false" ht="15" hidden="false" customHeight="false" outlineLevel="0" collapsed="false">
      <c r="A323" s="5" t="n">
        <v>322</v>
      </c>
      <c r="B323" s="5" t="s">
        <v>1049</v>
      </c>
      <c r="C323" s="6" t="s">
        <v>49</v>
      </c>
      <c r="D323" s="5" t="s">
        <v>205</v>
      </c>
      <c r="E323" s="5" t="s">
        <v>206</v>
      </c>
      <c r="F323" s="5" t="s">
        <v>76</v>
      </c>
      <c r="G323" s="5" t="s">
        <v>101</v>
      </c>
      <c r="H323" s="5" t="s">
        <v>207</v>
      </c>
      <c r="I323" s="5" t="s">
        <v>1050</v>
      </c>
      <c r="J323" s="7" t="n">
        <v>3110</v>
      </c>
      <c r="K323" s="8" t="n">
        <v>2870</v>
      </c>
      <c r="L323" s="8" t="n">
        <v>58</v>
      </c>
      <c r="M323" s="8" t="n">
        <v>5855.43</v>
      </c>
      <c r="N323" s="8" t="n">
        <v>323680</v>
      </c>
      <c r="O323" s="5" t="n">
        <v>39.5</v>
      </c>
      <c r="P323" s="9" t="n">
        <v>9.61</v>
      </c>
      <c r="Q323" s="5" t="n">
        <v>0.08</v>
      </c>
      <c r="R323" s="5" t="s">
        <v>95</v>
      </c>
      <c r="S323" s="5" t="s">
        <v>96</v>
      </c>
      <c r="T323" s="5" t="n">
        <v>33</v>
      </c>
      <c r="U323" s="5" t="s">
        <v>80</v>
      </c>
      <c r="V323" s="5" t="s">
        <v>1051</v>
      </c>
    </row>
    <row r="324" customFormat="false" ht="15" hidden="false" customHeight="false" outlineLevel="0" collapsed="false">
      <c r="A324" s="5" t="n">
        <v>323</v>
      </c>
      <c r="B324" s="5" t="s">
        <v>1052</v>
      </c>
      <c r="C324" s="6" t="s">
        <v>49</v>
      </c>
      <c r="D324" s="5" t="s">
        <v>134</v>
      </c>
      <c r="E324" s="5" t="s">
        <v>135</v>
      </c>
      <c r="F324" s="5" t="s">
        <v>76</v>
      </c>
      <c r="G324" s="5" t="s">
        <v>101</v>
      </c>
      <c r="H324" s="5" t="s">
        <v>412</v>
      </c>
      <c r="I324" s="5" t="s">
        <v>78</v>
      </c>
      <c r="J324" s="7" t="n">
        <v>3106</v>
      </c>
      <c r="K324" s="8" t="n">
        <v>2270</v>
      </c>
      <c r="L324" s="8" t="n">
        <v>111</v>
      </c>
      <c r="M324" s="8" t="n">
        <v>18020.54</v>
      </c>
      <c r="N324" s="8" t="n">
        <v>1111706</v>
      </c>
      <c r="O324" s="5" t="n">
        <v>15.6</v>
      </c>
      <c r="P324" s="9" t="n">
        <v>2.79</v>
      </c>
      <c r="Q324" s="5" t="n">
        <v>2.94</v>
      </c>
      <c r="R324" s="5" t="s">
        <v>53</v>
      </c>
      <c r="S324" s="5" t="s">
        <v>79</v>
      </c>
      <c r="T324" s="5" t="n">
        <v>96</v>
      </c>
      <c r="U324" s="5" t="s">
        <v>80</v>
      </c>
      <c r="V324" s="5" t="s">
        <v>1053</v>
      </c>
    </row>
    <row r="325" customFormat="false" ht="15" hidden="false" customHeight="false" outlineLevel="0" collapsed="false">
      <c r="A325" s="5" t="n">
        <v>324</v>
      </c>
      <c r="B325" s="5" t="s">
        <v>1054</v>
      </c>
      <c r="C325" s="6" t="s">
        <v>49</v>
      </c>
      <c r="D325" s="5" t="s">
        <v>351</v>
      </c>
      <c r="E325" s="5" t="s">
        <v>352</v>
      </c>
      <c r="F325" s="5" t="s">
        <v>76</v>
      </c>
      <c r="G325" s="5"/>
      <c r="H325" s="5" t="s">
        <v>753</v>
      </c>
      <c r="I325" s="5" t="s">
        <v>657</v>
      </c>
      <c r="J325" s="7" t="n">
        <v>3084</v>
      </c>
      <c r="K325" s="8" t="n">
        <v>2590</v>
      </c>
      <c r="L325" s="8" t="n">
        <v>30</v>
      </c>
      <c r="M325" s="8" t="n">
        <v>19617.07</v>
      </c>
      <c r="N325" s="8" t="n">
        <v>525051</v>
      </c>
      <c r="O325" s="5" t="n">
        <v>12.9</v>
      </c>
      <c r="P325" s="9" t="n">
        <v>5.87</v>
      </c>
      <c r="Q325" s="5" t="n">
        <v>2.1</v>
      </c>
      <c r="R325" s="5" t="s">
        <v>53</v>
      </c>
      <c r="S325" s="5" t="s">
        <v>184</v>
      </c>
      <c r="T325" s="5" t="n">
        <v>64</v>
      </c>
      <c r="U325" s="5" t="s">
        <v>80</v>
      </c>
      <c r="V325" s="5" t="s">
        <v>1055</v>
      </c>
    </row>
    <row r="326" customFormat="false" ht="15" hidden="false" customHeight="false" outlineLevel="0" collapsed="false">
      <c r="A326" s="5" t="n">
        <v>325</v>
      </c>
      <c r="B326" s="5" t="s">
        <v>1056</v>
      </c>
      <c r="C326" s="6" t="s">
        <v>49</v>
      </c>
      <c r="D326" s="5" t="s">
        <v>139</v>
      </c>
      <c r="E326" s="5" t="s">
        <v>140</v>
      </c>
      <c r="F326" s="5" t="s">
        <v>76</v>
      </c>
      <c r="G326" s="5"/>
      <c r="H326" s="5" t="s">
        <v>245</v>
      </c>
      <c r="I326" s="5" t="s">
        <v>109</v>
      </c>
      <c r="J326" s="7" t="n">
        <v>3058</v>
      </c>
      <c r="K326" s="8" t="n">
        <v>7860</v>
      </c>
      <c r="L326" s="8" t="n">
        <v>58</v>
      </c>
      <c r="M326" s="8" t="n">
        <v>28271.62</v>
      </c>
      <c r="N326" s="8" t="n">
        <v>560772</v>
      </c>
      <c r="O326" s="5" t="n">
        <v>10.9</v>
      </c>
      <c r="P326" s="9" t="n">
        <v>5.45</v>
      </c>
      <c r="Q326" s="5" t="n">
        <v>0.4</v>
      </c>
      <c r="R326" s="5" t="s">
        <v>95</v>
      </c>
      <c r="S326" s="5" t="s">
        <v>165</v>
      </c>
      <c r="T326" s="5" t="n">
        <v>95</v>
      </c>
      <c r="U326" s="5" t="s">
        <v>80</v>
      </c>
      <c r="V326" s="5" t="s">
        <v>1057</v>
      </c>
    </row>
    <row r="327" customFormat="false" ht="15" hidden="false" customHeight="false" outlineLevel="0" collapsed="false">
      <c r="A327" s="5" t="n">
        <v>326</v>
      </c>
      <c r="B327" s="5" t="s">
        <v>1058</v>
      </c>
      <c r="C327" s="6" t="s">
        <v>49</v>
      </c>
      <c r="D327" s="5" t="s">
        <v>205</v>
      </c>
      <c r="E327" s="5" t="s">
        <v>206</v>
      </c>
      <c r="F327" s="5"/>
      <c r="G327" s="5"/>
      <c r="H327" s="5" t="s">
        <v>1059</v>
      </c>
      <c r="I327" s="5"/>
      <c r="J327" s="7" t="n">
        <v>3047</v>
      </c>
      <c r="K327" s="8" t="n">
        <v>3630</v>
      </c>
      <c r="L327" s="8" t="n">
        <v>120</v>
      </c>
      <c r="M327" s="8" t="n">
        <v>4137</v>
      </c>
      <c r="N327" s="8" t="n">
        <v>499454</v>
      </c>
      <c r="O327" s="5" t="n">
        <v>41.4</v>
      </c>
      <c r="P327" s="9" t="n">
        <v>6.1</v>
      </c>
      <c r="Q327" s="5" t="n">
        <v>0.3</v>
      </c>
      <c r="R327" s="5" t="s">
        <v>95</v>
      </c>
      <c r="S327" s="5" t="s">
        <v>65</v>
      </c>
      <c r="T327" s="5" t="n">
        <v>30</v>
      </c>
      <c r="U327" s="5" t="s">
        <v>55</v>
      </c>
      <c r="V327" s="5" t="s">
        <v>1060</v>
      </c>
    </row>
    <row r="328" customFormat="false" ht="15" hidden="false" customHeight="false" outlineLevel="0" collapsed="false">
      <c r="A328" s="5" t="n">
        <v>327</v>
      </c>
      <c r="B328" s="5" t="s">
        <v>1061</v>
      </c>
      <c r="C328" s="6" t="s">
        <v>49</v>
      </c>
      <c r="D328" s="5" t="s">
        <v>566</v>
      </c>
      <c r="E328" s="5" t="s">
        <v>567</v>
      </c>
      <c r="F328" s="5" t="s">
        <v>76</v>
      </c>
      <c r="G328" s="5" t="s">
        <v>101</v>
      </c>
      <c r="H328" s="5" t="s">
        <v>568</v>
      </c>
      <c r="I328" s="5" t="s">
        <v>290</v>
      </c>
      <c r="J328" s="7" t="n">
        <v>3017</v>
      </c>
      <c r="K328" s="8" t="n">
        <v>1590</v>
      </c>
      <c r="L328" s="8" t="n">
        <v>42</v>
      </c>
      <c r="M328" s="8" t="n">
        <v>93935.71</v>
      </c>
      <c r="N328" s="8" t="n">
        <v>2378009</v>
      </c>
      <c r="O328" s="5" t="n">
        <v>4.9</v>
      </c>
      <c r="P328" s="9" t="n">
        <v>1.27</v>
      </c>
      <c r="Q328" s="5" t="n">
        <v>2.54</v>
      </c>
      <c r="R328" s="5" t="s">
        <v>53</v>
      </c>
      <c r="S328" s="5" t="s">
        <v>103</v>
      </c>
      <c r="T328" s="5" t="n">
        <v>65</v>
      </c>
      <c r="U328" s="5" t="s">
        <v>80</v>
      </c>
      <c r="V328" s="5" t="s">
        <v>1062</v>
      </c>
    </row>
    <row r="329" customFormat="false" ht="15" hidden="false" customHeight="false" outlineLevel="0" collapsed="false">
      <c r="A329" s="5" t="n">
        <v>328</v>
      </c>
      <c r="B329" s="5" t="s">
        <v>1063</v>
      </c>
      <c r="C329" s="6" t="s">
        <v>49</v>
      </c>
      <c r="D329" s="5" t="s">
        <v>1064</v>
      </c>
      <c r="E329" s="5" t="s">
        <v>1065</v>
      </c>
      <c r="F329" s="5" t="s">
        <v>76</v>
      </c>
      <c r="G329" s="5" t="s">
        <v>101</v>
      </c>
      <c r="H329" s="5" t="s">
        <v>1066</v>
      </c>
      <c r="I329" s="5" t="s">
        <v>290</v>
      </c>
      <c r="J329" s="7" t="n">
        <v>2997</v>
      </c>
      <c r="K329" s="8" t="n">
        <v>7570</v>
      </c>
      <c r="L329" s="8" t="n">
        <v>92</v>
      </c>
      <c r="M329" s="8" t="n">
        <v>11929.03</v>
      </c>
      <c r="N329" s="8" t="n">
        <v>1006714</v>
      </c>
      <c r="O329" s="5" t="n">
        <v>9</v>
      </c>
      <c r="P329" s="9" t="n">
        <v>2.98</v>
      </c>
      <c r="Q329" s="5" t="n">
        <v>0.13</v>
      </c>
      <c r="R329" s="5" t="s">
        <v>95</v>
      </c>
      <c r="S329" s="5" t="s">
        <v>375</v>
      </c>
      <c r="T329" s="5" t="n">
        <v>125</v>
      </c>
      <c r="U329" s="5" t="s">
        <v>80</v>
      </c>
      <c r="V329" s="5" t="s">
        <v>1067</v>
      </c>
    </row>
    <row r="330" customFormat="false" ht="15" hidden="false" customHeight="false" outlineLevel="0" collapsed="false">
      <c r="A330" s="5" t="n">
        <v>329</v>
      </c>
      <c r="B330" s="5" t="s">
        <v>1068</v>
      </c>
      <c r="C330" s="6" t="s">
        <v>49</v>
      </c>
      <c r="D330" s="5" t="s">
        <v>125</v>
      </c>
      <c r="E330" s="5" t="s">
        <v>126</v>
      </c>
      <c r="F330" s="5" t="s">
        <v>76</v>
      </c>
      <c r="G330" s="5" t="s">
        <v>101</v>
      </c>
      <c r="H330" s="5" t="s">
        <v>296</v>
      </c>
      <c r="I330" s="5" t="s">
        <v>296</v>
      </c>
      <c r="J330" s="7" t="n">
        <v>2948</v>
      </c>
      <c r="K330" s="8" t="n">
        <v>7580</v>
      </c>
      <c r="L330" s="8" t="n">
        <v>153</v>
      </c>
      <c r="M330" s="8" t="n">
        <v>17530.24</v>
      </c>
      <c r="N330" s="8" t="n">
        <v>847869</v>
      </c>
      <c r="O330" s="5" t="n">
        <v>18.2</v>
      </c>
      <c r="P330" s="9" t="n">
        <v>3.48</v>
      </c>
      <c r="Q330" s="5" t="n">
        <v>2.93</v>
      </c>
      <c r="R330" s="5" t="s">
        <v>95</v>
      </c>
      <c r="S330" s="5" t="s">
        <v>116</v>
      </c>
      <c r="T330" s="5" t="n">
        <v>126</v>
      </c>
      <c r="U330" s="5" t="s">
        <v>80</v>
      </c>
      <c r="V330" s="5" t="s">
        <v>1069</v>
      </c>
    </row>
    <row r="331" customFormat="false" ht="15" hidden="false" customHeight="false" outlineLevel="0" collapsed="false">
      <c r="A331" s="5" t="n">
        <v>330</v>
      </c>
      <c r="B331" s="5" t="s">
        <v>1070</v>
      </c>
      <c r="C331" s="6" t="s">
        <v>49</v>
      </c>
      <c r="D331" s="5" t="s">
        <v>550</v>
      </c>
      <c r="E331" s="5" t="s">
        <v>551</v>
      </c>
      <c r="F331" s="5" t="s">
        <v>76</v>
      </c>
      <c r="G331" s="5" t="s">
        <v>101</v>
      </c>
      <c r="H331" s="5" t="s">
        <v>265</v>
      </c>
      <c r="I331" s="5" t="s">
        <v>109</v>
      </c>
      <c r="J331" s="7" t="n">
        <v>2934</v>
      </c>
      <c r="K331" s="8" t="n">
        <v>10900</v>
      </c>
      <c r="L331" s="8" t="n">
        <v>59</v>
      </c>
      <c r="M331" s="8" t="n">
        <v>23514.31</v>
      </c>
      <c r="N331" s="8" t="n">
        <v>521708</v>
      </c>
      <c r="O331" s="5" t="n">
        <v>17</v>
      </c>
      <c r="P331" s="9" t="n">
        <v>5.62</v>
      </c>
      <c r="Q331" s="5" t="n">
        <v>0.46</v>
      </c>
      <c r="R331" s="5" t="s">
        <v>53</v>
      </c>
      <c r="S331" s="5" t="s">
        <v>103</v>
      </c>
      <c r="T331" s="5" t="n">
        <v>65</v>
      </c>
      <c r="U331" s="5" t="s">
        <v>80</v>
      </c>
      <c r="V331" s="5" t="s">
        <v>1071</v>
      </c>
    </row>
    <row r="332" customFormat="false" ht="15" hidden="false" customHeight="false" outlineLevel="0" collapsed="false">
      <c r="A332" s="5" t="n">
        <v>331</v>
      </c>
      <c r="B332" s="5" t="s">
        <v>1072</v>
      </c>
      <c r="C332" s="6" t="s">
        <v>49</v>
      </c>
      <c r="D332" s="5" t="s">
        <v>1045</v>
      </c>
      <c r="E332" s="5" t="s">
        <v>1046</v>
      </c>
      <c r="F332" s="5" t="s">
        <v>76</v>
      </c>
      <c r="G332" s="5" t="s">
        <v>101</v>
      </c>
      <c r="H332" s="5" t="s">
        <v>1047</v>
      </c>
      <c r="I332" s="5" t="s">
        <v>657</v>
      </c>
      <c r="J332" s="7" t="n">
        <v>2927</v>
      </c>
      <c r="K332" s="8" t="n">
        <v>4350</v>
      </c>
      <c r="L332" s="8" t="n">
        <v>64</v>
      </c>
      <c r="M332" s="8" t="n">
        <v>15555.19</v>
      </c>
      <c r="N332" s="8" t="n">
        <v>590923</v>
      </c>
      <c r="O332" s="5" t="n">
        <v>34.6</v>
      </c>
      <c r="P332" s="9" t="n">
        <v>4.95</v>
      </c>
      <c r="Q332" s="5" t="n">
        <v>2.32</v>
      </c>
      <c r="R332" s="5" t="s">
        <v>53</v>
      </c>
      <c r="S332" s="5" t="s">
        <v>110</v>
      </c>
      <c r="T332" s="5" t="n">
        <v>34</v>
      </c>
      <c r="U332" s="5" t="s">
        <v>80</v>
      </c>
      <c r="V332" s="5" t="s">
        <v>1073</v>
      </c>
    </row>
    <row r="333" customFormat="false" ht="15" hidden="false" customHeight="false" outlineLevel="0" collapsed="false">
      <c r="A333" s="5" t="n">
        <v>332</v>
      </c>
      <c r="B333" s="5" t="s">
        <v>1074</v>
      </c>
      <c r="C333" s="6" t="s">
        <v>49</v>
      </c>
      <c r="D333" s="5" t="s">
        <v>903</v>
      </c>
      <c r="E333" s="5" t="s">
        <v>904</v>
      </c>
      <c r="F333" s="5" t="s">
        <v>76</v>
      </c>
      <c r="G333" s="5" t="s">
        <v>101</v>
      </c>
      <c r="H333" s="5" t="s">
        <v>237</v>
      </c>
      <c r="I333" s="5" t="s">
        <v>109</v>
      </c>
      <c r="J333" s="7" t="n">
        <v>2926</v>
      </c>
      <c r="K333" s="8" t="n">
        <v>6050</v>
      </c>
      <c r="L333" s="8" t="n">
        <v>19</v>
      </c>
      <c r="M333" s="8" t="n">
        <v>49303.05</v>
      </c>
      <c r="N333" s="8" t="n">
        <v>475459</v>
      </c>
      <c r="O333" s="5" t="n">
        <v>22</v>
      </c>
      <c r="P333" s="9" t="n">
        <v>6.15</v>
      </c>
      <c r="Q333" s="5" t="n">
        <v>0.91</v>
      </c>
      <c r="R333" s="5" t="s">
        <v>95</v>
      </c>
      <c r="S333" s="5" t="s">
        <v>79</v>
      </c>
      <c r="T333" s="5" t="n">
        <v>96</v>
      </c>
      <c r="U333" s="5" t="s">
        <v>80</v>
      </c>
      <c r="V333" s="5" t="s">
        <v>1075</v>
      </c>
    </row>
    <row r="334" customFormat="false" ht="15" hidden="false" customHeight="false" outlineLevel="0" collapsed="false">
      <c r="A334" s="5" t="n">
        <v>333</v>
      </c>
      <c r="B334" s="5" t="s">
        <v>1076</v>
      </c>
      <c r="C334" s="6" t="s">
        <v>49</v>
      </c>
      <c r="D334" s="5" t="s">
        <v>675</v>
      </c>
      <c r="E334" s="5" t="s">
        <v>676</v>
      </c>
      <c r="F334" s="5" t="s">
        <v>76</v>
      </c>
      <c r="G334" s="5" t="s">
        <v>101</v>
      </c>
      <c r="H334" s="5" t="s">
        <v>1077</v>
      </c>
      <c r="I334" s="5" t="s">
        <v>657</v>
      </c>
      <c r="J334" s="7" t="n">
        <v>2905</v>
      </c>
      <c r="K334" s="8" t="n">
        <v>6830</v>
      </c>
      <c r="L334" s="8" t="n">
        <v>53</v>
      </c>
      <c r="M334" s="8" t="n">
        <v>18099.96</v>
      </c>
      <c r="N334" s="8" t="n">
        <v>414130</v>
      </c>
      <c r="O334" s="5" t="n">
        <v>24.4</v>
      </c>
      <c r="P334" s="9" t="n">
        <v>7.01</v>
      </c>
      <c r="Q334" s="5" t="n">
        <v>1.53</v>
      </c>
      <c r="R334" s="5" t="s">
        <v>53</v>
      </c>
      <c r="S334" s="5" t="s">
        <v>184</v>
      </c>
      <c r="T334" s="5" t="n">
        <v>64</v>
      </c>
      <c r="U334" s="5" t="s">
        <v>80</v>
      </c>
      <c r="V334" s="5" t="s">
        <v>1078</v>
      </c>
    </row>
    <row r="335" customFormat="false" ht="15" hidden="false" customHeight="false" outlineLevel="0" collapsed="false">
      <c r="A335" s="5" t="n">
        <v>334</v>
      </c>
      <c r="B335" s="5" t="s">
        <v>1079</v>
      </c>
      <c r="C335" s="6" t="s">
        <v>49</v>
      </c>
      <c r="D335" s="5" t="s">
        <v>404</v>
      </c>
      <c r="E335" s="5" t="s">
        <v>405</v>
      </c>
      <c r="F335" s="5" t="s">
        <v>76</v>
      </c>
      <c r="G335" s="5" t="s">
        <v>101</v>
      </c>
      <c r="H335" s="5" t="s">
        <v>131</v>
      </c>
      <c r="I335" s="5" t="s">
        <v>94</v>
      </c>
      <c r="J335" s="7" t="n">
        <v>2871</v>
      </c>
      <c r="K335" s="8" t="n">
        <v>8990</v>
      </c>
      <c r="L335" s="8" t="n">
        <v>103</v>
      </c>
      <c r="M335" s="8" t="n">
        <v>9977.56</v>
      </c>
      <c r="N335" s="8" t="n">
        <v>598087</v>
      </c>
      <c r="O335" s="5" t="n">
        <v>37.9</v>
      </c>
      <c r="P335" s="9" t="n">
        <v>4.8</v>
      </c>
      <c r="Q335" s="5" t="n">
        <v>0.47</v>
      </c>
      <c r="R335" s="5" t="s">
        <v>53</v>
      </c>
      <c r="S335" s="5" t="s">
        <v>116</v>
      </c>
      <c r="T335" s="5" t="n">
        <v>126</v>
      </c>
      <c r="U335" s="5" t="s">
        <v>80</v>
      </c>
      <c r="V335" s="5" t="s">
        <v>1080</v>
      </c>
    </row>
    <row r="336" customFormat="false" ht="15" hidden="false" customHeight="false" outlineLevel="0" collapsed="false">
      <c r="A336" s="5" t="n">
        <v>335</v>
      </c>
      <c r="B336" s="5" t="s">
        <v>1081</v>
      </c>
      <c r="C336" s="6" t="s">
        <v>49</v>
      </c>
      <c r="D336" s="5" t="s">
        <v>254</v>
      </c>
      <c r="E336" s="5" t="s">
        <v>255</v>
      </c>
      <c r="F336" s="5" t="s">
        <v>76</v>
      </c>
      <c r="G336" s="5"/>
      <c r="H336" s="5" t="s">
        <v>256</v>
      </c>
      <c r="I336" s="5" t="s">
        <v>78</v>
      </c>
      <c r="J336" s="7" t="n">
        <v>2867</v>
      </c>
      <c r="K336" s="8" t="n">
        <v>16300</v>
      </c>
      <c r="L336" s="8" t="n">
        <v>172</v>
      </c>
      <c r="M336" s="8" t="n">
        <v>27975.74</v>
      </c>
      <c r="N336" s="8" t="n">
        <v>1035164</v>
      </c>
      <c r="O336" s="5" t="n">
        <v>9</v>
      </c>
      <c r="P336" s="9" t="n">
        <v>2.77</v>
      </c>
      <c r="Q336" s="5" t="n">
        <v>0.74</v>
      </c>
      <c r="R336" s="5" t="s">
        <v>53</v>
      </c>
      <c r="S336" s="5" t="s">
        <v>375</v>
      </c>
      <c r="T336" s="5" t="n">
        <v>125</v>
      </c>
      <c r="U336" s="5" t="s">
        <v>80</v>
      </c>
      <c r="V336" s="5" t="s">
        <v>1082</v>
      </c>
    </row>
    <row r="337" customFormat="false" ht="15" hidden="false" customHeight="false" outlineLevel="0" collapsed="false">
      <c r="A337" s="5" t="n">
        <v>336</v>
      </c>
      <c r="B337" s="5" t="s">
        <v>1083</v>
      </c>
      <c r="C337" s="6" t="s">
        <v>49</v>
      </c>
      <c r="D337" s="5" t="s">
        <v>633</v>
      </c>
      <c r="E337" s="5" t="s">
        <v>634</v>
      </c>
      <c r="F337" s="5" t="s">
        <v>91</v>
      </c>
      <c r="G337" s="5" t="s">
        <v>92</v>
      </c>
      <c r="H337" s="5" t="s">
        <v>93</v>
      </c>
      <c r="I337" s="5" t="s">
        <v>109</v>
      </c>
      <c r="J337" s="7" t="n">
        <v>2867</v>
      </c>
      <c r="K337" s="8" t="n">
        <v>4980</v>
      </c>
      <c r="L337" s="8" t="n">
        <v>87</v>
      </c>
      <c r="M337" s="8" t="n">
        <v>23714.94</v>
      </c>
      <c r="N337" s="8" t="n">
        <v>1166383</v>
      </c>
      <c r="O337" s="5" t="n">
        <v>26.9</v>
      </c>
      <c r="P337" s="9" t="n">
        <v>2.46</v>
      </c>
      <c r="Q337" s="5" t="n">
        <v>2.71</v>
      </c>
      <c r="R337" s="5" t="s">
        <v>95</v>
      </c>
      <c r="S337" s="5" t="s">
        <v>184</v>
      </c>
      <c r="T337" s="5" t="n">
        <v>64</v>
      </c>
      <c r="U337" s="5" t="s">
        <v>80</v>
      </c>
      <c r="V337" s="5" t="s">
        <v>1084</v>
      </c>
    </row>
    <row r="338" customFormat="false" ht="15" hidden="false" customHeight="false" outlineLevel="0" collapsed="false">
      <c r="A338" s="5" t="n">
        <v>337</v>
      </c>
      <c r="B338" s="5" t="s">
        <v>1085</v>
      </c>
      <c r="C338" s="6" t="s">
        <v>49</v>
      </c>
      <c r="D338" s="5" t="s">
        <v>642</v>
      </c>
      <c r="E338" s="5" t="s">
        <v>643</v>
      </c>
      <c r="F338" s="5" t="s">
        <v>76</v>
      </c>
      <c r="G338" s="5" t="s">
        <v>101</v>
      </c>
      <c r="H338" s="5" t="s">
        <v>183</v>
      </c>
      <c r="I338" s="5" t="s">
        <v>122</v>
      </c>
      <c r="J338" s="7" t="n">
        <v>2847</v>
      </c>
      <c r="K338" s="8" t="n">
        <v>15600</v>
      </c>
      <c r="L338" s="8" t="n">
        <v>67</v>
      </c>
      <c r="M338" s="8" t="n">
        <v>38637.6</v>
      </c>
      <c r="N338" s="8" t="n">
        <v>375482</v>
      </c>
      <c r="O338" s="5" t="n">
        <v>46.2</v>
      </c>
      <c r="P338" s="9" t="n">
        <v>7.58</v>
      </c>
      <c r="Q338" s="5" t="n">
        <v>0.81</v>
      </c>
      <c r="R338" s="5" t="s">
        <v>95</v>
      </c>
      <c r="S338" s="5" t="s">
        <v>165</v>
      </c>
      <c r="T338" s="5" t="n">
        <v>95</v>
      </c>
      <c r="U338" s="5" t="s">
        <v>80</v>
      </c>
      <c r="V338" s="5" t="s">
        <v>1086</v>
      </c>
    </row>
    <row r="339" customFormat="false" ht="15" hidden="false" customHeight="false" outlineLevel="0" collapsed="false">
      <c r="A339" s="5" t="n">
        <v>338</v>
      </c>
      <c r="B339" s="5" t="s">
        <v>1087</v>
      </c>
      <c r="C339" s="6" t="s">
        <v>49</v>
      </c>
      <c r="D339" s="5" t="s">
        <v>1045</v>
      </c>
      <c r="E339" s="5" t="s">
        <v>1046</v>
      </c>
      <c r="F339" s="5" t="s">
        <v>76</v>
      </c>
      <c r="G339" s="5" t="s">
        <v>101</v>
      </c>
      <c r="H339" s="5" t="s">
        <v>1047</v>
      </c>
      <c r="I339" s="5" t="s">
        <v>94</v>
      </c>
      <c r="J339" s="7" t="n">
        <v>2842</v>
      </c>
      <c r="K339" s="8" t="n">
        <v>5010</v>
      </c>
      <c r="L339" s="8" t="n">
        <v>31</v>
      </c>
      <c r="M339" s="8" t="n">
        <v>33465.77</v>
      </c>
      <c r="N339" s="8" t="n">
        <v>569491</v>
      </c>
      <c r="O339" s="5" t="n">
        <v>21.5</v>
      </c>
      <c r="P339" s="9" t="n">
        <v>4.99</v>
      </c>
      <c r="Q339" s="5" t="n">
        <v>3.82</v>
      </c>
      <c r="R339" s="5" t="s">
        <v>53</v>
      </c>
      <c r="S339" s="5" t="s">
        <v>79</v>
      </c>
      <c r="T339" s="5" t="n">
        <v>96</v>
      </c>
      <c r="U339" s="5" t="s">
        <v>80</v>
      </c>
      <c r="V339" s="5" t="s">
        <v>1088</v>
      </c>
    </row>
    <row r="340" customFormat="false" ht="15" hidden="false" customHeight="false" outlineLevel="0" collapsed="false">
      <c r="A340" s="5" t="n">
        <v>339</v>
      </c>
      <c r="B340" s="5" t="s">
        <v>1089</v>
      </c>
      <c r="C340" s="6" t="s">
        <v>49</v>
      </c>
      <c r="D340" s="5" t="s">
        <v>200</v>
      </c>
      <c r="E340" s="5" t="s">
        <v>201</v>
      </c>
      <c r="F340" s="5" t="s">
        <v>76</v>
      </c>
      <c r="G340" s="5"/>
      <c r="H340" s="5" t="s">
        <v>748</v>
      </c>
      <c r="I340" s="5" t="s">
        <v>296</v>
      </c>
      <c r="J340" s="7" t="n">
        <v>2829</v>
      </c>
      <c r="K340" s="8" t="n">
        <v>5650</v>
      </c>
      <c r="L340" s="8" t="n">
        <v>58</v>
      </c>
      <c r="M340" s="8" t="n">
        <v>41163.52</v>
      </c>
      <c r="N340" s="8" t="n">
        <v>1324859</v>
      </c>
      <c r="O340" s="5" t="n">
        <v>16.8</v>
      </c>
      <c r="P340" s="9" t="n">
        <v>2.13</v>
      </c>
      <c r="Q340" s="5" t="n">
        <v>5.74</v>
      </c>
      <c r="R340" s="5" t="s">
        <v>53</v>
      </c>
      <c r="S340" s="5" t="s">
        <v>103</v>
      </c>
      <c r="T340" s="5" t="n">
        <v>65</v>
      </c>
      <c r="U340" s="5" t="s">
        <v>80</v>
      </c>
      <c r="V340" s="5" t="s">
        <v>1090</v>
      </c>
    </row>
    <row r="341" customFormat="false" ht="15" hidden="false" customHeight="false" outlineLevel="0" collapsed="false">
      <c r="A341" s="5" t="n">
        <v>340</v>
      </c>
      <c r="B341" s="5" t="s">
        <v>1091</v>
      </c>
      <c r="C341" s="6" t="s">
        <v>49</v>
      </c>
      <c r="D341" s="5" t="s">
        <v>231</v>
      </c>
      <c r="E341" s="5" t="s">
        <v>232</v>
      </c>
      <c r="F341" s="5" t="s">
        <v>76</v>
      </c>
      <c r="G341" s="5" t="s">
        <v>101</v>
      </c>
      <c r="H341" s="5" t="s">
        <v>93</v>
      </c>
      <c r="I341" s="5" t="s">
        <v>94</v>
      </c>
      <c r="J341" s="7" t="n">
        <v>2815</v>
      </c>
      <c r="K341" s="8" t="n">
        <v>7400</v>
      </c>
      <c r="L341" s="8" t="n">
        <v>128</v>
      </c>
      <c r="M341" s="8" t="n">
        <v>15064.3</v>
      </c>
      <c r="N341" s="8" t="n">
        <v>1048708</v>
      </c>
      <c r="O341" s="5" t="n">
        <v>41.9</v>
      </c>
      <c r="P341" s="9" t="n">
        <v>2.68</v>
      </c>
      <c r="Q341" s="5" t="n">
        <v>2.18</v>
      </c>
      <c r="R341" s="5" t="s">
        <v>53</v>
      </c>
      <c r="S341" s="5" t="s">
        <v>103</v>
      </c>
      <c r="T341" s="5" t="n">
        <v>65</v>
      </c>
      <c r="U341" s="5" t="s">
        <v>80</v>
      </c>
      <c r="V341" s="5" t="s">
        <v>1092</v>
      </c>
    </row>
    <row r="342" customFormat="false" ht="15" hidden="false" customHeight="false" outlineLevel="0" collapsed="false">
      <c r="A342" s="5" t="n">
        <v>341</v>
      </c>
      <c r="B342" s="5" t="s">
        <v>1093</v>
      </c>
      <c r="C342" s="6" t="s">
        <v>49</v>
      </c>
      <c r="D342" s="5" t="s">
        <v>307</v>
      </c>
      <c r="E342" s="5" t="s">
        <v>308</v>
      </c>
      <c r="F342" s="5" t="s">
        <v>156</v>
      </c>
      <c r="G342" s="5" t="s">
        <v>157</v>
      </c>
      <c r="H342" s="5" t="s">
        <v>310</v>
      </c>
      <c r="I342" s="5" t="s">
        <v>78</v>
      </c>
      <c r="J342" s="7" t="n">
        <v>2790</v>
      </c>
      <c r="K342" s="8" t="n">
        <v>1610</v>
      </c>
      <c r="L342" s="8" t="n">
        <v>93</v>
      </c>
      <c r="M342" s="8" t="n">
        <v>11893.59</v>
      </c>
      <c r="N342" s="8" t="n">
        <v>864711</v>
      </c>
      <c r="O342" s="5" t="n">
        <v>27.3</v>
      </c>
      <c r="P342" s="9" t="n">
        <v>3.23</v>
      </c>
      <c r="Q342" s="5" t="n">
        <v>2.38</v>
      </c>
      <c r="R342" s="5" t="s">
        <v>53</v>
      </c>
      <c r="S342" s="5" t="s">
        <v>96</v>
      </c>
      <c r="T342" s="5" t="n">
        <v>33</v>
      </c>
      <c r="U342" s="5" t="s">
        <v>80</v>
      </c>
      <c r="V342" s="5" t="s">
        <v>1094</v>
      </c>
    </row>
    <row r="343" customFormat="false" ht="15" hidden="false" customHeight="false" outlineLevel="0" collapsed="false">
      <c r="A343" s="5" t="n">
        <v>342</v>
      </c>
      <c r="B343" s="5" t="s">
        <v>1095</v>
      </c>
      <c r="C343" s="6" t="s">
        <v>49</v>
      </c>
      <c r="D343" s="5" t="s">
        <v>433</v>
      </c>
      <c r="E343" s="5" t="s">
        <v>434</v>
      </c>
      <c r="F343" s="5"/>
      <c r="G343" s="5"/>
      <c r="H343" s="5" t="s">
        <v>1096</v>
      </c>
      <c r="I343" s="5"/>
      <c r="J343" s="7" t="n">
        <v>2763</v>
      </c>
      <c r="K343" s="8" t="n">
        <v>3860</v>
      </c>
      <c r="L343" s="8" t="n">
        <v>26</v>
      </c>
      <c r="M343" s="8" t="n">
        <v>26645</v>
      </c>
      <c r="N343" s="8" t="n">
        <v>676093</v>
      </c>
      <c r="O343" s="5" t="n">
        <v>26.7</v>
      </c>
      <c r="P343" s="9" t="n">
        <v>4.09</v>
      </c>
      <c r="Q343" s="5" t="n">
        <v>0.43</v>
      </c>
      <c r="R343" s="5" t="s">
        <v>53</v>
      </c>
      <c r="S343" s="5" t="s">
        <v>65</v>
      </c>
      <c r="T343" s="5" t="n">
        <v>30</v>
      </c>
      <c r="U343" s="5" t="s">
        <v>55</v>
      </c>
      <c r="V343" s="5" t="s">
        <v>1097</v>
      </c>
    </row>
    <row r="344" customFormat="false" ht="15" hidden="false" customHeight="false" outlineLevel="0" collapsed="false">
      <c r="A344" s="5" t="n">
        <v>343</v>
      </c>
      <c r="B344" s="5" t="s">
        <v>1098</v>
      </c>
      <c r="C344" s="6" t="s">
        <v>49</v>
      </c>
      <c r="D344" s="5" t="s">
        <v>231</v>
      </c>
      <c r="E344" s="5" t="s">
        <v>232</v>
      </c>
      <c r="F344" s="5" t="s">
        <v>76</v>
      </c>
      <c r="G344" s="5" t="s">
        <v>157</v>
      </c>
      <c r="H344" s="5" t="s">
        <v>93</v>
      </c>
      <c r="I344" s="5" t="s">
        <v>94</v>
      </c>
      <c r="J344" s="7" t="n">
        <v>2759</v>
      </c>
      <c r="K344" s="8" t="n">
        <v>6870</v>
      </c>
      <c r="L344" s="8" t="n">
        <v>51</v>
      </c>
      <c r="M344" s="8" t="n">
        <v>32030.61</v>
      </c>
      <c r="N344" s="8" t="n">
        <v>850076</v>
      </c>
      <c r="O344" s="5" t="n">
        <v>27.4</v>
      </c>
      <c r="P344" s="9" t="n">
        <v>3.25</v>
      </c>
      <c r="Q344" s="5" t="n">
        <v>3.24</v>
      </c>
      <c r="R344" s="5" t="s">
        <v>95</v>
      </c>
      <c r="S344" s="5" t="s">
        <v>79</v>
      </c>
      <c r="T344" s="5" t="n">
        <v>96</v>
      </c>
      <c r="U344" s="5" t="s">
        <v>80</v>
      </c>
      <c r="V344" s="5" t="s">
        <v>1099</v>
      </c>
    </row>
    <row r="345" customFormat="false" ht="15" hidden="false" customHeight="false" outlineLevel="0" collapsed="false">
      <c r="A345" s="5" t="n">
        <v>344</v>
      </c>
      <c r="B345" s="5" t="s">
        <v>1100</v>
      </c>
      <c r="C345" s="6" t="s">
        <v>49</v>
      </c>
      <c r="D345" s="5" t="s">
        <v>385</v>
      </c>
      <c r="E345" s="5" t="s">
        <v>386</v>
      </c>
      <c r="F345" s="5" t="s">
        <v>76</v>
      </c>
      <c r="G345" s="5" t="s">
        <v>1101</v>
      </c>
      <c r="H345" s="5" t="s">
        <v>621</v>
      </c>
      <c r="I345" s="5" t="s">
        <v>122</v>
      </c>
      <c r="J345" s="7" t="n">
        <v>2756</v>
      </c>
      <c r="K345" s="8" t="n">
        <v>3410</v>
      </c>
      <c r="L345" s="8" t="n">
        <v>57</v>
      </c>
      <c r="M345" s="8" t="n">
        <v>21103.91</v>
      </c>
      <c r="N345" s="8" t="n">
        <v>575445</v>
      </c>
      <c r="O345" s="5" t="n">
        <v>28.4</v>
      </c>
      <c r="P345" s="9" t="n">
        <v>4.79</v>
      </c>
      <c r="Q345" s="5" t="n">
        <v>0.5</v>
      </c>
      <c r="R345" s="5" t="s">
        <v>53</v>
      </c>
      <c r="S345" s="5" t="s">
        <v>116</v>
      </c>
      <c r="T345" s="5" t="n">
        <v>126</v>
      </c>
      <c r="U345" s="5" t="s">
        <v>80</v>
      </c>
      <c r="V345" s="5" t="s">
        <v>1102</v>
      </c>
    </row>
    <row r="346" customFormat="false" ht="15" hidden="false" customHeight="false" outlineLevel="0" collapsed="false">
      <c r="A346" s="5" t="n">
        <v>345</v>
      </c>
      <c r="B346" s="5" t="s">
        <v>1103</v>
      </c>
      <c r="C346" s="6" t="s">
        <v>49</v>
      </c>
      <c r="D346" s="5" t="s">
        <v>282</v>
      </c>
      <c r="E346" s="5" t="s">
        <v>283</v>
      </c>
      <c r="F346" s="5" t="s">
        <v>76</v>
      </c>
      <c r="G346" s="5" t="s">
        <v>101</v>
      </c>
      <c r="H346" s="5" t="s">
        <v>296</v>
      </c>
      <c r="I346" s="5" t="s">
        <v>296</v>
      </c>
      <c r="J346" s="7" t="n">
        <v>2753</v>
      </c>
      <c r="K346" s="8" t="n">
        <v>11400</v>
      </c>
      <c r="L346" s="8" t="n">
        <v>197</v>
      </c>
      <c r="M346" s="8" t="n">
        <v>15585.73</v>
      </c>
      <c r="N346" s="8" t="n">
        <v>1114225</v>
      </c>
      <c r="O346" s="5" t="n">
        <v>20.9</v>
      </c>
      <c r="P346" s="9" t="n">
        <v>2.47</v>
      </c>
      <c r="Q346" s="5" t="n">
        <v>0.66</v>
      </c>
      <c r="R346" s="5" t="s">
        <v>53</v>
      </c>
      <c r="S346" s="5" t="s">
        <v>79</v>
      </c>
      <c r="T346" s="5" t="n">
        <v>96</v>
      </c>
      <c r="U346" s="5" t="s">
        <v>80</v>
      </c>
      <c r="V346" s="5" t="s">
        <v>1104</v>
      </c>
    </row>
    <row r="347" customFormat="false" ht="15" hidden="false" customHeight="false" outlineLevel="0" collapsed="false">
      <c r="A347" s="5" t="n">
        <v>346</v>
      </c>
      <c r="B347" s="5" t="s">
        <v>1105</v>
      </c>
      <c r="C347" s="6" t="s">
        <v>49</v>
      </c>
      <c r="D347" s="5" t="s">
        <v>217</v>
      </c>
      <c r="E347" s="5" t="s">
        <v>218</v>
      </c>
      <c r="F347" s="5" t="s">
        <v>76</v>
      </c>
      <c r="G347" s="5" t="s">
        <v>1106</v>
      </c>
      <c r="H347" s="5" t="s">
        <v>220</v>
      </c>
      <c r="I347" s="5" t="s">
        <v>109</v>
      </c>
      <c r="J347" s="7" t="n">
        <v>2742</v>
      </c>
      <c r="K347" s="8" t="n">
        <v>12300</v>
      </c>
      <c r="L347" s="8" t="n">
        <v>147</v>
      </c>
      <c r="M347" s="8" t="n">
        <v>23840.41</v>
      </c>
      <c r="N347" s="8" t="n">
        <v>628657</v>
      </c>
      <c r="O347" s="5" t="n">
        <v>17.8</v>
      </c>
      <c r="P347" s="9" t="n">
        <v>4.36</v>
      </c>
      <c r="Q347" s="5" t="n">
        <v>0.64</v>
      </c>
      <c r="R347" s="5" t="s">
        <v>95</v>
      </c>
      <c r="S347" s="5" t="s">
        <v>79</v>
      </c>
      <c r="T347" s="5" t="n">
        <v>96</v>
      </c>
      <c r="U347" s="5" t="s">
        <v>80</v>
      </c>
      <c r="V347" s="5" t="s">
        <v>1107</v>
      </c>
    </row>
    <row r="348" customFormat="false" ht="15" hidden="false" customHeight="false" outlineLevel="0" collapsed="false">
      <c r="A348" s="5" t="n">
        <v>347</v>
      </c>
      <c r="B348" s="5" t="s">
        <v>1108</v>
      </c>
      <c r="C348" s="6" t="s">
        <v>49</v>
      </c>
      <c r="D348" s="5" t="s">
        <v>665</v>
      </c>
      <c r="E348" s="5" t="s">
        <v>666</v>
      </c>
      <c r="F348" s="5" t="s">
        <v>76</v>
      </c>
      <c r="G348" s="5" t="s">
        <v>101</v>
      </c>
      <c r="H348" s="5" t="s">
        <v>131</v>
      </c>
      <c r="I348" s="5" t="s">
        <v>94</v>
      </c>
      <c r="J348" s="7" t="n">
        <v>2730</v>
      </c>
      <c r="K348" s="8" t="n">
        <v>1670</v>
      </c>
      <c r="L348" s="8" t="n">
        <v>32</v>
      </c>
      <c r="M348" s="8" t="n">
        <v>16281.81</v>
      </c>
      <c r="N348" s="8" t="n">
        <v>407199</v>
      </c>
      <c r="O348" s="5" t="n">
        <v>87.2</v>
      </c>
      <c r="P348" s="9" t="n">
        <v>6.7</v>
      </c>
      <c r="Q348" s="5" t="n">
        <v>0.72</v>
      </c>
      <c r="R348" s="5" t="s">
        <v>95</v>
      </c>
      <c r="S348" s="5" t="s">
        <v>165</v>
      </c>
      <c r="T348" s="5" t="n">
        <v>95</v>
      </c>
      <c r="U348" s="5" t="s">
        <v>80</v>
      </c>
      <c r="V348" s="5" t="s">
        <v>1109</v>
      </c>
    </row>
    <row r="349" customFormat="false" ht="15" hidden="false" customHeight="false" outlineLevel="0" collapsed="false">
      <c r="A349" s="5" t="n">
        <v>348</v>
      </c>
      <c r="B349" s="5" t="s">
        <v>1110</v>
      </c>
      <c r="C349" s="6" t="s">
        <v>49</v>
      </c>
      <c r="D349" s="5" t="s">
        <v>739</v>
      </c>
      <c r="E349" s="5" t="s">
        <v>740</v>
      </c>
      <c r="F349" s="5" t="s">
        <v>76</v>
      </c>
      <c r="G349" s="5" t="s">
        <v>101</v>
      </c>
      <c r="H349" s="5" t="s">
        <v>299</v>
      </c>
      <c r="I349" s="5" t="s">
        <v>122</v>
      </c>
      <c r="J349" s="7" t="n">
        <v>2713</v>
      </c>
      <c r="K349" s="8" t="n">
        <v>5280</v>
      </c>
      <c r="L349" s="8" t="n">
        <v>38</v>
      </c>
      <c r="M349" s="8" t="n">
        <v>46755.26</v>
      </c>
      <c r="N349" s="8" t="n">
        <v>898536</v>
      </c>
      <c r="O349" s="5" t="n">
        <v>22.1</v>
      </c>
      <c r="P349" s="9" t="n">
        <v>3.02</v>
      </c>
      <c r="Q349" s="5" t="n">
        <v>7.06</v>
      </c>
      <c r="R349" s="5" t="s">
        <v>53</v>
      </c>
      <c r="S349" s="5" t="s">
        <v>165</v>
      </c>
      <c r="T349" s="5" t="n">
        <v>95</v>
      </c>
      <c r="U349" s="5" t="s">
        <v>80</v>
      </c>
      <c r="V349" s="5" t="s">
        <v>1111</v>
      </c>
    </row>
    <row r="350" customFormat="false" ht="15" hidden="false" customHeight="false" outlineLevel="0" collapsed="false">
      <c r="A350" s="5" t="n">
        <v>349</v>
      </c>
      <c r="B350" s="5" t="s">
        <v>1112</v>
      </c>
      <c r="C350" s="6" t="s">
        <v>49</v>
      </c>
      <c r="D350" s="5" t="s">
        <v>874</v>
      </c>
      <c r="E350" s="5" t="s">
        <v>875</v>
      </c>
      <c r="F350" s="5" t="s">
        <v>76</v>
      </c>
      <c r="G350" s="5"/>
      <c r="H350" s="5" t="s">
        <v>115</v>
      </c>
      <c r="I350" s="5" t="s">
        <v>657</v>
      </c>
      <c r="J350" s="7" t="n">
        <v>2700</v>
      </c>
      <c r="K350" s="8" t="n">
        <v>22400</v>
      </c>
      <c r="L350" s="8" t="n">
        <v>21</v>
      </c>
      <c r="M350" s="8" t="n">
        <v>293266.67</v>
      </c>
      <c r="N350" s="8" t="n">
        <v>1558261</v>
      </c>
      <c r="O350" s="5" t="n">
        <v>25.2</v>
      </c>
      <c r="P350" s="9" t="n">
        <v>1.73</v>
      </c>
      <c r="Q350" s="5" t="n">
        <v>4.4</v>
      </c>
      <c r="R350" s="5" t="s">
        <v>53</v>
      </c>
      <c r="S350" s="5" t="s">
        <v>375</v>
      </c>
      <c r="T350" s="5" t="n">
        <v>125</v>
      </c>
      <c r="U350" s="5" t="s">
        <v>80</v>
      </c>
      <c r="V350" s="5" t="s">
        <v>1113</v>
      </c>
    </row>
    <row r="351" customFormat="false" ht="15" hidden="false" customHeight="false" outlineLevel="0" collapsed="false">
      <c r="A351" s="5" t="n">
        <v>350</v>
      </c>
      <c r="B351" s="5" t="s">
        <v>1114</v>
      </c>
      <c r="C351" s="6" t="s">
        <v>49</v>
      </c>
      <c r="D351" s="5" t="s">
        <v>675</v>
      </c>
      <c r="E351" s="5" t="s">
        <v>676</v>
      </c>
      <c r="F351" s="5" t="s">
        <v>76</v>
      </c>
      <c r="G351" s="5" t="s">
        <v>101</v>
      </c>
      <c r="H351" s="5" t="s">
        <v>470</v>
      </c>
      <c r="I351" s="5" t="s">
        <v>657</v>
      </c>
      <c r="J351" s="7" t="n">
        <v>2700</v>
      </c>
      <c r="K351" s="8" t="n">
        <v>2140</v>
      </c>
      <c r="L351" s="8" t="n">
        <v>180</v>
      </c>
      <c r="M351" s="8" t="n">
        <v>6138.06</v>
      </c>
      <c r="N351" s="8" t="n">
        <v>579298</v>
      </c>
      <c r="O351" s="5" t="n">
        <v>22</v>
      </c>
      <c r="P351" s="9" t="n">
        <v>4.66</v>
      </c>
      <c r="Q351" s="5" t="n">
        <v>1.29</v>
      </c>
      <c r="R351" s="5" t="s">
        <v>53</v>
      </c>
      <c r="S351" s="5" t="s">
        <v>116</v>
      </c>
      <c r="T351" s="5" t="n">
        <v>126</v>
      </c>
      <c r="U351" s="5" t="s">
        <v>80</v>
      </c>
      <c r="V351" s="5" t="s">
        <v>1115</v>
      </c>
    </row>
    <row r="352" customFormat="false" ht="15" hidden="false" customHeight="false" outlineLevel="0" collapsed="false">
      <c r="A352" s="5" t="n">
        <v>351</v>
      </c>
      <c r="B352" s="5" t="s">
        <v>1116</v>
      </c>
      <c r="C352" s="6" t="s">
        <v>49</v>
      </c>
      <c r="D352" s="5" t="s">
        <v>191</v>
      </c>
      <c r="E352" s="5" t="s">
        <v>192</v>
      </c>
      <c r="F352" s="5" t="s">
        <v>76</v>
      </c>
      <c r="G352" s="5" t="s">
        <v>101</v>
      </c>
      <c r="H352" s="5" t="s">
        <v>296</v>
      </c>
      <c r="I352" s="5" t="s">
        <v>94</v>
      </c>
      <c r="J352" s="7" t="n">
        <v>2698</v>
      </c>
      <c r="K352" s="8" t="n">
        <v>14500</v>
      </c>
      <c r="L352" s="8" t="n">
        <v>37</v>
      </c>
      <c r="M352" s="8" t="n">
        <v>1375320</v>
      </c>
      <c r="N352" s="8" t="n">
        <v>600872</v>
      </c>
      <c r="O352" s="5" t="n">
        <v>18.1</v>
      </c>
      <c r="P352" s="9" t="n">
        <v>4.49</v>
      </c>
      <c r="Q352" s="5" t="n">
        <v>18.6</v>
      </c>
      <c r="R352" s="5" t="s">
        <v>53</v>
      </c>
      <c r="S352" s="5" t="s">
        <v>1117</v>
      </c>
      <c r="T352" s="5" t="n">
        <v>3655</v>
      </c>
      <c r="U352" s="5" t="s">
        <v>80</v>
      </c>
      <c r="V352" s="5" t="s">
        <v>1118</v>
      </c>
    </row>
    <row r="353" customFormat="false" ht="15" hidden="false" customHeight="false" outlineLevel="0" collapsed="false">
      <c r="A353" s="5" t="n">
        <v>352</v>
      </c>
      <c r="B353" s="5" t="s">
        <v>1119</v>
      </c>
      <c r="C353" s="6" t="s">
        <v>49</v>
      </c>
      <c r="D353" s="5" t="s">
        <v>314</v>
      </c>
      <c r="E353" s="5" t="s">
        <v>315</v>
      </c>
      <c r="F353" s="5" t="s">
        <v>91</v>
      </c>
      <c r="G353" s="5" t="s">
        <v>92</v>
      </c>
      <c r="H353" s="5" t="s">
        <v>1008</v>
      </c>
      <c r="I353" s="5" t="s">
        <v>94</v>
      </c>
      <c r="J353" s="7" t="n">
        <v>2694</v>
      </c>
      <c r="K353" s="8" t="n">
        <v>3770</v>
      </c>
      <c r="L353" s="8" t="n">
        <v>136</v>
      </c>
      <c r="M353" s="8" t="n">
        <v>13486.15</v>
      </c>
      <c r="N353" s="8" t="n">
        <v>772035</v>
      </c>
      <c r="O353" s="5" t="n">
        <v>21.9</v>
      </c>
      <c r="P353" s="9" t="n">
        <v>3.49</v>
      </c>
      <c r="Q353" s="5" t="n">
        <v>1.51</v>
      </c>
      <c r="R353" s="5" t="s">
        <v>95</v>
      </c>
      <c r="S353" s="5" t="s">
        <v>184</v>
      </c>
      <c r="T353" s="5" t="n">
        <v>64</v>
      </c>
      <c r="U353" s="5" t="s">
        <v>80</v>
      </c>
      <c r="V353" s="5" t="s">
        <v>1120</v>
      </c>
    </row>
    <row r="354" customFormat="false" ht="15" hidden="false" customHeight="false" outlineLevel="0" collapsed="false">
      <c r="A354" s="5" t="n">
        <v>353</v>
      </c>
      <c r="B354" s="5" t="s">
        <v>1121</v>
      </c>
      <c r="C354" s="6" t="s">
        <v>49</v>
      </c>
      <c r="D354" s="5" t="s">
        <v>342</v>
      </c>
      <c r="E354" s="5" t="s">
        <v>343</v>
      </c>
      <c r="F354" s="5" t="s">
        <v>76</v>
      </c>
      <c r="G354" s="5" t="s">
        <v>101</v>
      </c>
      <c r="H354" s="5" t="s">
        <v>484</v>
      </c>
      <c r="I354" s="5" t="s">
        <v>122</v>
      </c>
      <c r="J354" s="7" t="n">
        <v>2689</v>
      </c>
      <c r="K354" s="8" t="n">
        <v>3250</v>
      </c>
      <c r="L354" s="8" t="n">
        <v>99</v>
      </c>
      <c r="M354" s="8" t="n">
        <v>7658.29</v>
      </c>
      <c r="N354" s="8" t="n">
        <v>247533</v>
      </c>
      <c r="O354" s="5" t="n">
        <v>76.9</v>
      </c>
      <c r="P354" s="9" t="n">
        <v>10.86</v>
      </c>
      <c r="Q354" s="5" t="n">
        <v>0.65</v>
      </c>
      <c r="R354" s="5" t="s">
        <v>95</v>
      </c>
      <c r="S354" s="5" t="s">
        <v>184</v>
      </c>
      <c r="T354" s="5" t="n">
        <v>64</v>
      </c>
      <c r="U354" s="5" t="s">
        <v>80</v>
      </c>
      <c r="V354" s="5" t="s">
        <v>1122</v>
      </c>
    </row>
    <row r="355" customFormat="false" ht="15" hidden="false" customHeight="false" outlineLevel="0" collapsed="false">
      <c r="A355" s="5" t="n">
        <v>354</v>
      </c>
      <c r="B355" s="5" t="s">
        <v>1123</v>
      </c>
      <c r="C355" s="6" t="s">
        <v>49</v>
      </c>
      <c r="D355" s="5" t="s">
        <v>319</v>
      </c>
      <c r="E355" s="5" t="s">
        <v>320</v>
      </c>
      <c r="F355" s="5"/>
      <c r="G355" s="5"/>
      <c r="H355" s="5" t="s">
        <v>1124</v>
      </c>
      <c r="I355" s="5"/>
      <c r="J355" s="7" t="n">
        <v>2688</v>
      </c>
      <c r="K355" s="8" t="n">
        <v>1420</v>
      </c>
      <c r="L355" s="8" t="n">
        <v>7</v>
      </c>
      <c r="M355" s="8" t="n">
        <v>86473</v>
      </c>
      <c r="N355" s="8" t="n">
        <v>363629</v>
      </c>
      <c r="O355" s="5" t="n">
        <v>47.9</v>
      </c>
      <c r="P355" s="9" t="n">
        <v>7.39</v>
      </c>
      <c r="Q355" s="5" t="n">
        <v>2.99</v>
      </c>
      <c r="R355" s="5" t="s">
        <v>53</v>
      </c>
      <c r="S355" s="5" t="s">
        <v>86</v>
      </c>
      <c r="T355" s="5" t="n">
        <v>61</v>
      </c>
      <c r="U355" s="5" t="s">
        <v>55</v>
      </c>
      <c r="V355" s="5" t="s">
        <v>1125</v>
      </c>
    </row>
    <row r="356" customFormat="false" ht="15" hidden="false" customHeight="false" outlineLevel="0" collapsed="false">
      <c r="A356" s="5" t="n">
        <v>355</v>
      </c>
      <c r="B356" s="5" t="s">
        <v>1126</v>
      </c>
      <c r="C356" s="6" t="s">
        <v>49</v>
      </c>
      <c r="D356" s="5" t="s">
        <v>227</v>
      </c>
      <c r="E356" s="5" t="s">
        <v>228</v>
      </c>
      <c r="F356" s="5" t="s">
        <v>76</v>
      </c>
      <c r="G356" s="5" t="s">
        <v>101</v>
      </c>
      <c r="H356" s="5" t="s">
        <v>581</v>
      </c>
      <c r="I356" s="5" t="s">
        <v>94</v>
      </c>
      <c r="J356" s="7" t="n">
        <v>2675</v>
      </c>
      <c r="K356" s="8" t="n">
        <v>4510</v>
      </c>
      <c r="L356" s="8" t="n">
        <v>93</v>
      </c>
      <c r="M356" s="8" t="n">
        <v>5097.26</v>
      </c>
      <c r="N356" s="8" t="n">
        <v>230313</v>
      </c>
      <c r="O356" s="5" t="n">
        <v>134.8</v>
      </c>
      <c r="P356" s="9" t="n">
        <v>11.61</v>
      </c>
      <c r="Q356" s="5" t="n">
        <v>1.03</v>
      </c>
      <c r="R356" s="5" t="s">
        <v>95</v>
      </c>
      <c r="S356" s="5" t="s">
        <v>103</v>
      </c>
      <c r="T356" s="5" t="n">
        <v>65</v>
      </c>
      <c r="U356" s="5" t="s">
        <v>80</v>
      </c>
      <c r="V356" s="5" t="s">
        <v>1127</v>
      </c>
    </row>
    <row r="357" customFormat="false" ht="15" hidden="false" customHeight="false" outlineLevel="0" collapsed="false">
      <c r="A357" s="5" t="n">
        <v>356</v>
      </c>
      <c r="B357" s="5" t="s">
        <v>1128</v>
      </c>
      <c r="C357" s="6" t="s">
        <v>49</v>
      </c>
      <c r="D357" s="5" t="s">
        <v>399</v>
      </c>
      <c r="E357" s="5" t="s">
        <v>400</v>
      </c>
      <c r="F357" s="5" t="s">
        <v>212</v>
      </c>
      <c r="G357" s="5" t="s">
        <v>213</v>
      </c>
      <c r="H357" s="5" t="s">
        <v>401</v>
      </c>
      <c r="I357" s="5" t="s">
        <v>122</v>
      </c>
      <c r="J357" s="7" t="n">
        <v>2675</v>
      </c>
      <c r="K357" s="8" t="n">
        <v>11700</v>
      </c>
      <c r="L357" s="8" t="n">
        <v>100</v>
      </c>
      <c r="M357" s="8" t="n">
        <v>20195</v>
      </c>
      <c r="N357" s="8" t="n">
        <v>1383187</v>
      </c>
      <c r="O357" s="5" t="n">
        <v>64.5</v>
      </c>
      <c r="P357" s="9" t="n">
        <v>1.93</v>
      </c>
      <c r="Q357" s="5" t="n">
        <v>1.1</v>
      </c>
      <c r="R357" s="5" t="s">
        <v>95</v>
      </c>
      <c r="S357" s="5" t="s">
        <v>811</v>
      </c>
      <c r="T357" s="5" t="n">
        <v>93</v>
      </c>
      <c r="U357" s="5" t="s">
        <v>80</v>
      </c>
      <c r="V357" s="5" t="s">
        <v>1129</v>
      </c>
    </row>
    <row r="358" customFormat="false" ht="15" hidden="false" customHeight="false" outlineLevel="0" collapsed="false">
      <c r="A358" s="5" t="n">
        <v>357</v>
      </c>
      <c r="B358" s="5" t="s">
        <v>1130</v>
      </c>
      <c r="C358" s="6" t="s">
        <v>49</v>
      </c>
      <c r="D358" s="5" t="s">
        <v>575</v>
      </c>
      <c r="E358" s="5" t="s">
        <v>576</v>
      </c>
      <c r="F358" s="5" t="s">
        <v>212</v>
      </c>
      <c r="G358" s="5" t="s">
        <v>101</v>
      </c>
      <c r="H358" s="5" t="s">
        <v>412</v>
      </c>
      <c r="I358" s="5" t="s">
        <v>78</v>
      </c>
      <c r="J358" s="7" t="n">
        <v>2673</v>
      </c>
      <c r="K358" s="8" t="n">
        <v>7680</v>
      </c>
      <c r="L358" s="8" t="n">
        <v>101</v>
      </c>
      <c r="M358" s="8" t="n">
        <v>50084.78</v>
      </c>
      <c r="N358" s="8" t="n">
        <v>1382535</v>
      </c>
      <c r="O358" s="5" t="n">
        <v>31.8</v>
      </c>
      <c r="P358" s="9" t="n">
        <v>1.93</v>
      </c>
      <c r="Q358" s="5" t="n">
        <v>1.56</v>
      </c>
      <c r="R358" s="5" t="s">
        <v>95</v>
      </c>
      <c r="S358" s="5" t="s">
        <v>165</v>
      </c>
      <c r="T358" s="5" t="n">
        <v>95</v>
      </c>
      <c r="U358" s="5" t="s">
        <v>80</v>
      </c>
      <c r="V358" s="5" t="s">
        <v>1131</v>
      </c>
    </row>
    <row r="359" customFormat="false" ht="15" hidden="false" customHeight="false" outlineLevel="0" collapsed="false">
      <c r="A359" s="5" t="n">
        <v>358</v>
      </c>
      <c r="B359" s="5" t="s">
        <v>1132</v>
      </c>
      <c r="C359" s="6" t="s">
        <v>49</v>
      </c>
      <c r="D359" s="5" t="s">
        <v>515</v>
      </c>
      <c r="E359" s="5" t="s">
        <v>516</v>
      </c>
      <c r="F359" s="5" t="s">
        <v>76</v>
      </c>
      <c r="G359" s="5" t="s">
        <v>101</v>
      </c>
      <c r="H359" s="5" t="s">
        <v>1133</v>
      </c>
      <c r="I359" s="5" t="s">
        <v>109</v>
      </c>
      <c r="J359" s="7" t="n">
        <v>2668</v>
      </c>
      <c r="K359" s="8" t="n">
        <v>6620</v>
      </c>
      <c r="L359" s="8" t="n">
        <v>73</v>
      </c>
      <c r="M359" s="8" t="n">
        <v>19064.19</v>
      </c>
      <c r="N359" s="8" t="n">
        <v>452385</v>
      </c>
      <c r="O359" s="5" t="n">
        <v>8.5</v>
      </c>
      <c r="P359" s="9" t="n">
        <v>5.9</v>
      </c>
      <c r="Q359" s="5" t="n">
        <v>0.16</v>
      </c>
      <c r="R359" s="5" t="s">
        <v>95</v>
      </c>
      <c r="S359" s="5" t="s">
        <v>103</v>
      </c>
      <c r="T359" s="5" t="n">
        <v>65</v>
      </c>
      <c r="U359" s="5" t="s">
        <v>80</v>
      </c>
      <c r="V359" s="5" t="s">
        <v>1134</v>
      </c>
    </row>
    <row r="360" customFormat="false" ht="15" hidden="false" customHeight="false" outlineLevel="0" collapsed="false">
      <c r="A360" s="5" t="n">
        <v>359</v>
      </c>
      <c r="B360" s="5" t="s">
        <v>1135</v>
      </c>
      <c r="C360" s="6" t="s">
        <v>49</v>
      </c>
      <c r="D360" s="5" t="s">
        <v>792</v>
      </c>
      <c r="E360" s="5" t="s">
        <v>793</v>
      </c>
      <c r="F360" s="5" t="s">
        <v>212</v>
      </c>
      <c r="G360" s="5" t="s">
        <v>213</v>
      </c>
      <c r="H360" s="5" t="s">
        <v>121</v>
      </c>
      <c r="I360" s="5" t="s">
        <v>109</v>
      </c>
      <c r="J360" s="7" t="n">
        <v>2656</v>
      </c>
      <c r="K360" s="8" t="n">
        <v>9040</v>
      </c>
      <c r="L360" s="8" t="n">
        <v>42</v>
      </c>
      <c r="M360" s="8" t="n">
        <v>40188.1</v>
      </c>
      <c r="N360" s="8" t="n">
        <v>1373527</v>
      </c>
      <c r="O360" s="5" t="n">
        <v>33.4</v>
      </c>
      <c r="P360" s="9" t="n">
        <v>1.93</v>
      </c>
      <c r="Q360" s="5" t="n">
        <v>3.53</v>
      </c>
      <c r="R360" s="5" t="s">
        <v>95</v>
      </c>
      <c r="S360" s="5" t="s">
        <v>96</v>
      </c>
      <c r="T360" s="5" t="n">
        <v>33</v>
      </c>
      <c r="U360" s="5" t="s">
        <v>80</v>
      </c>
      <c r="V360" s="5" t="s">
        <v>1136</v>
      </c>
    </row>
    <row r="361" customFormat="false" ht="15" hidden="false" customHeight="false" outlineLevel="0" collapsed="false">
      <c r="A361" s="5" t="n">
        <v>360</v>
      </c>
      <c r="B361" s="5" t="s">
        <v>1137</v>
      </c>
      <c r="C361" s="6" t="s">
        <v>49</v>
      </c>
      <c r="D361" s="5" t="s">
        <v>129</v>
      </c>
      <c r="E361" s="5" t="s">
        <v>130</v>
      </c>
      <c r="F361" s="5" t="s">
        <v>212</v>
      </c>
      <c r="G361" s="5" t="s">
        <v>101</v>
      </c>
      <c r="H361" s="5" t="s">
        <v>131</v>
      </c>
      <c r="I361" s="5" t="s">
        <v>94</v>
      </c>
      <c r="J361" s="7" t="n">
        <v>2638</v>
      </c>
      <c r="K361" s="8" t="n">
        <v>8140</v>
      </c>
      <c r="L361" s="8" t="n">
        <v>42</v>
      </c>
      <c r="M361" s="8" t="n">
        <v>45226.38</v>
      </c>
      <c r="N361" s="8" t="n">
        <v>1363985</v>
      </c>
      <c r="O361" s="5" t="n">
        <v>50.1</v>
      </c>
      <c r="P361" s="9" t="n">
        <v>1.93</v>
      </c>
      <c r="Q361" s="5" t="n">
        <v>2.68</v>
      </c>
      <c r="R361" s="5" t="s">
        <v>53</v>
      </c>
      <c r="S361" s="5" t="s">
        <v>184</v>
      </c>
      <c r="T361" s="5" t="n">
        <v>64</v>
      </c>
      <c r="U361" s="5" t="s">
        <v>80</v>
      </c>
      <c r="V361" s="5" t="s">
        <v>1138</v>
      </c>
    </row>
    <row r="362" customFormat="false" ht="15" hidden="false" customHeight="false" outlineLevel="0" collapsed="false">
      <c r="A362" s="5" t="n">
        <v>361</v>
      </c>
      <c r="B362" s="5" t="s">
        <v>1139</v>
      </c>
      <c r="C362" s="6" t="s">
        <v>49</v>
      </c>
      <c r="D362" s="5" t="s">
        <v>751</v>
      </c>
      <c r="E362" s="5" t="s">
        <v>752</v>
      </c>
      <c r="F362" s="5" t="s">
        <v>76</v>
      </c>
      <c r="G362" s="5" t="s">
        <v>101</v>
      </c>
      <c r="H362" s="5" t="s">
        <v>279</v>
      </c>
      <c r="I362" s="5" t="s">
        <v>180</v>
      </c>
      <c r="J362" s="7" t="n">
        <v>2638</v>
      </c>
      <c r="K362" s="8" t="n">
        <v>1990</v>
      </c>
      <c r="L362" s="8" t="n">
        <v>61</v>
      </c>
      <c r="M362" s="8" t="n">
        <v>23635.93</v>
      </c>
      <c r="N362" s="8" t="n">
        <v>952591</v>
      </c>
      <c r="O362" s="5" t="n">
        <v>15.9</v>
      </c>
      <c r="P362" s="9" t="n">
        <v>2.77</v>
      </c>
      <c r="Q362" s="5" t="n">
        <v>1.38</v>
      </c>
      <c r="R362" s="5" t="s">
        <v>95</v>
      </c>
      <c r="S362" s="5" t="s">
        <v>110</v>
      </c>
      <c r="T362" s="5" t="n">
        <v>34</v>
      </c>
      <c r="U362" s="5" t="s">
        <v>80</v>
      </c>
      <c r="V362" s="5" t="s">
        <v>1140</v>
      </c>
    </row>
    <row r="363" customFormat="false" ht="15" hidden="false" customHeight="false" outlineLevel="0" collapsed="false">
      <c r="A363" s="5" t="n">
        <v>362</v>
      </c>
      <c r="B363" s="5" t="s">
        <v>1141</v>
      </c>
      <c r="C363" s="6" t="s">
        <v>49</v>
      </c>
      <c r="D363" s="5" t="s">
        <v>139</v>
      </c>
      <c r="E363" s="5" t="s">
        <v>140</v>
      </c>
      <c r="F363" s="5" t="s">
        <v>76</v>
      </c>
      <c r="G363" s="5" t="s">
        <v>101</v>
      </c>
      <c r="H363" s="5" t="s">
        <v>93</v>
      </c>
      <c r="I363" s="5" t="s">
        <v>109</v>
      </c>
      <c r="J363" s="7" t="n">
        <v>2626</v>
      </c>
      <c r="K363" s="8" t="n">
        <v>5440</v>
      </c>
      <c r="L363" s="8" t="n">
        <v>80</v>
      </c>
      <c r="M363" s="8" t="n">
        <v>13995.02</v>
      </c>
      <c r="N363" s="8" t="n">
        <v>916116</v>
      </c>
      <c r="O363" s="5" t="n">
        <v>21.3</v>
      </c>
      <c r="P363" s="9" t="n">
        <v>2.87</v>
      </c>
      <c r="Q363" s="5" t="n">
        <v>0.29</v>
      </c>
      <c r="R363" s="5" t="s">
        <v>53</v>
      </c>
      <c r="S363" s="5" t="s">
        <v>184</v>
      </c>
      <c r="T363" s="5" t="n">
        <v>64</v>
      </c>
      <c r="U363" s="5" t="s">
        <v>80</v>
      </c>
      <c r="V363" s="5" t="s">
        <v>1142</v>
      </c>
    </row>
    <row r="364" customFormat="false" ht="15" hidden="false" customHeight="false" outlineLevel="0" collapsed="false">
      <c r="A364" s="5" t="n">
        <v>363</v>
      </c>
      <c r="B364" s="5" t="s">
        <v>1143</v>
      </c>
      <c r="C364" s="6" t="s">
        <v>49</v>
      </c>
      <c r="D364" s="5" t="s">
        <v>200</v>
      </c>
      <c r="E364" s="5" t="s">
        <v>201</v>
      </c>
      <c r="F364" s="5" t="s">
        <v>91</v>
      </c>
      <c r="G364" s="5" t="s">
        <v>92</v>
      </c>
      <c r="H364" s="5" t="s">
        <v>748</v>
      </c>
      <c r="I364" s="5" t="s">
        <v>78</v>
      </c>
      <c r="J364" s="7" t="n">
        <v>2624</v>
      </c>
      <c r="K364" s="8" t="n">
        <v>3870</v>
      </c>
      <c r="L364" s="8" t="n">
        <v>100</v>
      </c>
      <c r="M364" s="8" t="n">
        <v>23741.08</v>
      </c>
      <c r="N364" s="8" t="n">
        <v>939324</v>
      </c>
      <c r="O364" s="5" t="n">
        <v>13.9</v>
      </c>
      <c r="P364" s="9" t="n">
        <v>2.79</v>
      </c>
      <c r="Q364" s="5" t="n">
        <v>2.03</v>
      </c>
      <c r="R364" s="5" t="s">
        <v>53</v>
      </c>
      <c r="S364" s="5" t="s">
        <v>165</v>
      </c>
      <c r="T364" s="5" t="n">
        <v>95</v>
      </c>
      <c r="U364" s="5" t="s">
        <v>80</v>
      </c>
      <c r="V364" s="5" t="s">
        <v>1144</v>
      </c>
    </row>
    <row r="365" customFormat="false" ht="15" hidden="false" customHeight="false" outlineLevel="0" collapsed="false">
      <c r="A365" s="5" t="n">
        <v>364</v>
      </c>
      <c r="B365" s="5" t="s">
        <v>1145</v>
      </c>
      <c r="C365" s="6" t="s">
        <v>49</v>
      </c>
      <c r="D365" s="5" t="s">
        <v>739</v>
      </c>
      <c r="E365" s="5" t="s">
        <v>740</v>
      </c>
      <c r="F365" s="5"/>
      <c r="G365" s="5"/>
      <c r="H365" s="5" t="s">
        <v>1146</v>
      </c>
      <c r="I365" s="5"/>
      <c r="J365" s="7" t="n">
        <v>2617</v>
      </c>
      <c r="K365" s="8" t="n">
        <v>3280</v>
      </c>
      <c r="L365" s="8" t="n">
        <v>82</v>
      </c>
      <c r="M365" s="8" t="n">
        <v>5662</v>
      </c>
      <c r="N365" s="8" t="n">
        <v>451575</v>
      </c>
      <c r="O365" s="5" t="n">
        <v>22.8</v>
      </c>
      <c r="P365" s="9" t="n">
        <v>5.79</v>
      </c>
      <c r="Q365" s="5" t="n">
        <v>0.41</v>
      </c>
      <c r="R365" s="5" t="s">
        <v>53</v>
      </c>
      <c r="S365" s="5" t="s">
        <v>86</v>
      </c>
      <c r="T365" s="5" t="n">
        <v>61</v>
      </c>
      <c r="U365" s="5" t="s">
        <v>55</v>
      </c>
      <c r="V365" s="5" t="s">
        <v>1147</v>
      </c>
    </row>
    <row r="366" customFormat="false" ht="15" hidden="false" customHeight="false" outlineLevel="0" collapsed="false">
      <c r="A366" s="5" t="n">
        <v>365</v>
      </c>
      <c r="B366" s="5" t="s">
        <v>1148</v>
      </c>
      <c r="C366" s="6" t="s">
        <v>49</v>
      </c>
      <c r="D366" s="5" t="s">
        <v>125</v>
      </c>
      <c r="E366" s="5" t="s">
        <v>126</v>
      </c>
      <c r="F366" s="5" t="s">
        <v>212</v>
      </c>
      <c r="G366" s="5" t="s">
        <v>1149</v>
      </c>
      <c r="H366" s="5" t="s">
        <v>758</v>
      </c>
      <c r="I366" s="5" t="s">
        <v>78</v>
      </c>
      <c r="J366" s="7" t="n">
        <v>2616</v>
      </c>
      <c r="K366" s="8" t="n">
        <v>1240</v>
      </c>
      <c r="L366" s="8" t="n">
        <v>46</v>
      </c>
      <c r="M366" s="8" t="n">
        <v>23212.28</v>
      </c>
      <c r="N366" s="8" t="n">
        <v>420823</v>
      </c>
      <c r="O366" s="5" t="n">
        <v>20.4</v>
      </c>
      <c r="P366" s="9" t="n">
        <v>6.22</v>
      </c>
      <c r="Q366" s="5" t="n">
        <v>0.09</v>
      </c>
      <c r="R366" s="5" t="s">
        <v>95</v>
      </c>
      <c r="S366" s="5" t="s">
        <v>96</v>
      </c>
      <c r="T366" s="5" t="n">
        <v>33</v>
      </c>
      <c r="U366" s="5" t="s">
        <v>80</v>
      </c>
      <c r="V366" s="5" t="s">
        <v>1150</v>
      </c>
    </row>
    <row r="367" customFormat="false" ht="15" hidden="false" customHeight="false" outlineLevel="0" collapsed="false">
      <c r="A367" s="5" t="n">
        <v>366</v>
      </c>
      <c r="B367" s="5" t="s">
        <v>1151</v>
      </c>
      <c r="C367" s="6" t="s">
        <v>49</v>
      </c>
      <c r="D367" s="5" t="s">
        <v>217</v>
      </c>
      <c r="E367" s="5" t="s">
        <v>218</v>
      </c>
      <c r="F367" s="5"/>
      <c r="G367" s="5"/>
      <c r="H367" s="5" t="s">
        <v>1152</v>
      </c>
      <c r="I367" s="5"/>
      <c r="J367" s="7" t="n">
        <v>2616</v>
      </c>
      <c r="K367" s="8" t="n">
        <v>1430</v>
      </c>
      <c r="L367" s="8" t="n">
        <v>43</v>
      </c>
      <c r="M367" s="8" t="n">
        <v>33057</v>
      </c>
      <c r="N367" s="8" t="n">
        <v>1361572</v>
      </c>
      <c r="O367" s="5" t="n">
        <v>11.3</v>
      </c>
      <c r="P367" s="9" t="n">
        <v>1.92</v>
      </c>
      <c r="Q367" s="5" t="n">
        <v>2.26</v>
      </c>
      <c r="R367" s="5" t="s">
        <v>95</v>
      </c>
      <c r="S367" s="5" t="s">
        <v>65</v>
      </c>
      <c r="T367" s="5" t="n">
        <v>30</v>
      </c>
      <c r="U367" s="5" t="s">
        <v>55</v>
      </c>
      <c r="V367" s="5" t="s">
        <v>1153</v>
      </c>
    </row>
    <row r="368" customFormat="false" ht="15" hidden="false" customHeight="false" outlineLevel="0" collapsed="false">
      <c r="A368" s="5" t="n">
        <v>367</v>
      </c>
      <c r="B368" s="5" t="s">
        <v>1154</v>
      </c>
      <c r="C368" s="6" t="s">
        <v>49</v>
      </c>
      <c r="D368" s="5" t="s">
        <v>351</v>
      </c>
      <c r="E368" s="5" t="s">
        <v>352</v>
      </c>
      <c r="F368" s="5" t="s">
        <v>76</v>
      </c>
      <c r="G368" s="5" t="s">
        <v>101</v>
      </c>
      <c r="H368" s="5" t="s">
        <v>108</v>
      </c>
      <c r="I368" s="5" t="s">
        <v>94</v>
      </c>
      <c r="J368" s="7" t="n">
        <v>2607</v>
      </c>
      <c r="K368" s="8" t="n">
        <v>23200</v>
      </c>
      <c r="L368" s="8" t="n">
        <v>38</v>
      </c>
      <c r="M368" s="8" t="n">
        <v>59339.05</v>
      </c>
      <c r="N368" s="8" t="n">
        <v>546529</v>
      </c>
      <c r="O368" s="5" t="n">
        <v>18.8</v>
      </c>
      <c r="P368" s="9" t="n">
        <v>4.77</v>
      </c>
      <c r="Q368" s="5" t="n">
        <v>0.72</v>
      </c>
      <c r="R368" s="5" t="s">
        <v>53</v>
      </c>
      <c r="S368" s="5" t="s">
        <v>103</v>
      </c>
      <c r="T368" s="5" t="n">
        <v>65</v>
      </c>
      <c r="U368" s="5" t="s">
        <v>80</v>
      </c>
      <c r="V368" s="5" t="s">
        <v>1155</v>
      </c>
    </row>
    <row r="369" customFormat="false" ht="15" hidden="false" customHeight="false" outlineLevel="0" collapsed="false">
      <c r="A369" s="5" t="n">
        <v>368</v>
      </c>
      <c r="B369" s="5" t="s">
        <v>1156</v>
      </c>
      <c r="C369" s="6" t="s">
        <v>49</v>
      </c>
      <c r="D369" s="5" t="s">
        <v>448</v>
      </c>
      <c r="E369" s="5" t="s">
        <v>449</v>
      </c>
      <c r="F369" s="5" t="s">
        <v>76</v>
      </c>
      <c r="G369" s="5" t="s">
        <v>101</v>
      </c>
      <c r="H369" s="5" t="s">
        <v>699</v>
      </c>
      <c r="I369" s="5" t="s">
        <v>122</v>
      </c>
      <c r="J369" s="7" t="n">
        <v>2605</v>
      </c>
      <c r="K369" s="8" t="n">
        <v>10000</v>
      </c>
      <c r="L369" s="8" t="n">
        <v>78</v>
      </c>
      <c r="M369" s="8" t="n">
        <v>11248.92</v>
      </c>
      <c r="N369" s="8" t="n">
        <v>250571</v>
      </c>
      <c r="O369" s="5" t="n">
        <v>15.8</v>
      </c>
      <c r="P369" s="9" t="n">
        <v>10.39</v>
      </c>
      <c r="Q369" s="5" t="n">
        <v>0.42</v>
      </c>
      <c r="R369" s="5" t="s">
        <v>95</v>
      </c>
      <c r="S369" s="5" t="s">
        <v>184</v>
      </c>
      <c r="T369" s="5" t="n">
        <v>64</v>
      </c>
      <c r="U369" s="5" t="s">
        <v>80</v>
      </c>
      <c r="V369" s="5" t="s">
        <v>1157</v>
      </c>
    </row>
    <row r="370" customFormat="false" ht="15" hidden="false" customHeight="false" outlineLevel="0" collapsed="false">
      <c r="A370" s="5" t="n">
        <v>369</v>
      </c>
      <c r="B370" s="5" t="s">
        <v>1158</v>
      </c>
      <c r="C370" s="6" t="s">
        <v>49</v>
      </c>
      <c r="D370" s="5" t="s">
        <v>89</v>
      </c>
      <c r="E370" s="5" t="s">
        <v>90</v>
      </c>
      <c r="F370" s="5" t="s">
        <v>212</v>
      </c>
      <c r="G370" s="5"/>
      <c r="H370" s="5" t="s">
        <v>93</v>
      </c>
      <c r="I370" s="5" t="s">
        <v>94</v>
      </c>
      <c r="J370" s="7" t="n">
        <v>2599</v>
      </c>
      <c r="K370" s="8" t="n">
        <v>6350</v>
      </c>
      <c r="L370" s="8" t="n">
        <v>49</v>
      </c>
      <c r="M370" s="8" t="n">
        <v>54909</v>
      </c>
      <c r="N370" s="8" t="n">
        <v>1343946</v>
      </c>
      <c r="O370" s="5" t="n">
        <v>35.8</v>
      </c>
      <c r="P370" s="9" t="n">
        <v>1.93</v>
      </c>
      <c r="Q370" s="5" t="n">
        <v>2.94</v>
      </c>
      <c r="R370" s="5" t="s">
        <v>95</v>
      </c>
      <c r="S370" s="5" t="s">
        <v>184</v>
      </c>
      <c r="T370" s="5" t="n">
        <v>64</v>
      </c>
      <c r="U370" s="5" t="s">
        <v>80</v>
      </c>
      <c r="V370" s="5" t="s">
        <v>1159</v>
      </c>
    </row>
    <row r="371" customFormat="false" ht="15" hidden="false" customHeight="false" outlineLevel="0" collapsed="false">
      <c r="A371" s="5" t="n">
        <v>370</v>
      </c>
      <c r="B371" s="5" t="s">
        <v>1160</v>
      </c>
      <c r="C371" s="6" t="s">
        <v>49</v>
      </c>
      <c r="D371" s="5" t="s">
        <v>187</v>
      </c>
      <c r="E371" s="5" t="s">
        <v>188</v>
      </c>
      <c r="F371" s="5" t="s">
        <v>156</v>
      </c>
      <c r="G371" s="5" t="s">
        <v>157</v>
      </c>
      <c r="H371" s="5" t="s">
        <v>183</v>
      </c>
      <c r="I371" s="5" t="s">
        <v>122</v>
      </c>
      <c r="J371" s="7" t="n">
        <v>2595</v>
      </c>
      <c r="K371" s="8" t="n">
        <v>2120</v>
      </c>
      <c r="L371" s="8" t="n">
        <v>274</v>
      </c>
      <c r="M371" s="8" t="n">
        <v>4049.24</v>
      </c>
      <c r="N371" s="8" t="n">
        <v>531073</v>
      </c>
      <c r="O371" s="5" t="n">
        <v>57.7</v>
      </c>
      <c r="P371" s="9" t="n">
        <v>4.89</v>
      </c>
      <c r="Q371" s="5" t="n">
        <v>0.79</v>
      </c>
      <c r="R371" s="5" t="s">
        <v>53</v>
      </c>
      <c r="S371" s="5" t="s">
        <v>811</v>
      </c>
      <c r="T371" s="5" t="n">
        <v>93</v>
      </c>
      <c r="U371" s="5" t="s">
        <v>80</v>
      </c>
      <c r="V371" s="5" t="s">
        <v>1161</v>
      </c>
    </row>
    <row r="372" customFormat="false" ht="15" hidden="false" customHeight="false" outlineLevel="0" collapsed="false">
      <c r="A372" s="5" t="n">
        <v>371</v>
      </c>
      <c r="B372" s="5" t="s">
        <v>1162</v>
      </c>
      <c r="C372" s="6" t="s">
        <v>49</v>
      </c>
      <c r="D372" s="5" t="s">
        <v>399</v>
      </c>
      <c r="E372" s="5" t="s">
        <v>400</v>
      </c>
      <c r="F372" s="5" t="s">
        <v>76</v>
      </c>
      <c r="G372" s="5"/>
      <c r="H372" s="5" t="s">
        <v>401</v>
      </c>
      <c r="I372" s="5" t="s">
        <v>122</v>
      </c>
      <c r="J372" s="7" t="n">
        <v>2594</v>
      </c>
      <c r="K372" s="8" t="n">
        <v>12900</v>
      </c>
      <c r="L372" s="8" t="n">
        <v>121</v>
      </c>
      <c r="M372" s="8" t="n">
        <v>23621.37</v>
      </c>
      <c r="N372" s="8" t="n">
        <v>573152</v>
      </c>
      <c r="O372" s="5" t="n">
        <v>131.9</v>
      </c>
      <c r="P372" s="9" t="n">
        <v>4.53</v>
      </c>
      <c r="Q372" s="5" t="n">
        <v>0.99</v>
      </c>
      <c r="R372" s="5" t="s">
        <v>53</v>
      </c>
      <c r="S372" s="5" t="s">
        <v>375</v>
      </c>
      <c r="T372" s="5" t="n">
        <v>125</v>
      </c>
      <c r="U372" s="5" t="s">
        <v>80</v>
      </c>
      <c r="V372" s="5" t="s">
        <v>1163</v>
      </c>
    </row>
    <row r="373" customFormat="false" ht="15" hidden="false" customHeight="false" outlineLevel="0" collapsed="false">
      <c r="A373" s="5" t="n">
        <v>372</v>
      </c>
      <c r="B373" s="5" t="s">
        <v>1164</v>
      </c>
      <c r="C373" s="6" t="s">
        <v>49</v>
      </c>
      <c r="D373" s="5" t="s">
        <v>170</v>
      </c>
      <c r="E373" s="5" t="s">
        <v>171</v>
      </c>
      <c r="F373" s="5" t="s">
        <v>76</v>
      </c>
      <c r="G373" s="5" t="s">
        <v>101</v>
      </c>
      <c r="H373" s="5" t="s">
        <v>115</v>
      </c>
      <c r="I373" s="5" t="s">
        <v>94</v>
      </c>
      <c r="J373" s="7" t="n">
        <v>2590</v>
      </c>
      <c r="K373" s="8" t="n">
        <v>7790</v>
      </c>
      <c r="L373" s="8" t="n">
        <v>39</v>
      </c>
      <c r="M373" s="8" t="n">
        <v>39966.95</v>
      </c>
      <c r="N373" s="8" t="n">
        <v>668663</v>
      </c>
      <c r="O373" s="5" t="n">
        <v>36.8</v>
      </c>
      <c r="P373" s="9" t="n">
        <v>3.87</v>
      </c>
      <c r="Q373" s="5" t="n">
        <v>1.76</v>
      </c>
      <c r="R373" s="5" t="s">
        <v>95</v>
      </c>
      <c r="S373" s="5" t="s">
        <v>103</v>
      </c>
      <c r="T373" s="5" t="n">
        <v>65</v>
      </c>
      <c r="U373" s="5" t="s">
        <v>80</v>
      </c>
      <c r="V373" s="5" t="s">
        <v>1165</v>
      </c>
    </row>
    <row r="374" customFormat="false" ht="15" hidden="false" customHeight="false" outlineLevel="0" collapsed="false">
      <c r="A374" s="5" t="n">
        <v>373</v>
      </c>
      <c r="B374" s="5" t="s">
        <v>1166</v>
      </c>
      <c r="C374" s="6" t="s">
        <v>49</v>
      </c>
      <c r="D374" s="5" t="s">
        <v>515</v>
      </c>
      <c r="E374" s="5" t="s">
        <v>516</v>
      </c>
      <c r="F374" s="5" t="s">
        <v>76</v>
      </c>
      <c r="G374" s="5" t="s">
        <v>309</v>
      </c>
      <c r="H374" s="5" t="s">
        <v>207</v>
      </c>
      <c r="I374" s="5" t="s">
        <v>109</v>
      </c>
      <c r="J374" s="7" t="n">
        <v>2589</v>
      </c>
      <c r="K374" s="8" t="n">
        <v>12700</v>
      </c>
      <c r="L374" s="8" t="n">
        <v>52</v>
      </c>
      <c r="M374" s="8" t="n">
        <v>19084.81</v>
      </c>
      <c r="N374" s="8" t="n">
        <v>702624</v>
      </c>
      <c r="O374" s="5" t="n">
        <v>9</v>
      </c>
      <c r="P374" s="9" t="n">
        <v>3.68</v>
      </c>
      <c r="Q374" s="5" t="n">
        <v>0.25</v>
      </c>
      <c r="R374" s="5" t="s">
        <v>95</v>
      </c>
      <c r="S374" s="5" t="s">
        <v>116</v>
      </c>
      <c r="T374" s="5" t="n">
        <v>126</v>
      </c>
      <c r="U374" s="5" t="s">
        <v>80</v>
      </c>
      <c r="V374" s="5" t="s">
        <v>1167</v>
      </c>
    </row>
    <row r="375" customFormat="false" ht="15" hidden="false" customHeight="false" outlineLevel="0" collapsed="false">
      <c r="A375" s="5" t="n">
        <v>374</v>
      </c>
      <c r="B375" s="5" t="s">
        <v>1168</v>
      </c>
      <c r="C375" s="6" t="s">
        <v>49</v>
      </c>
      <c r="D375" s="5" t="s">
        <v>99</v>
      </c>
      <c r="E375" s="5" t="s">
        <v>100</v>
      </c>
      <c r="F375" s="5" t="s">
        <v>212</v>
      </c>
      <c r="G375" s="5" t="s">
        <v>1040</v>
      </c>
      <c r="H375" s="5" t="s">
        <v>279</v>
      </c>
      <c r="I375" s="5" t="s">
        <v>94</v>
      </c>
      <c r="J375" s="7" t="n">
        <v>2587</v>
      </c>
      <c r="K375" s="8" t="n">
        <v>12200</v>
      </c>
      <c r="L375" s="8" t="n">
        <v>71</v>
      </c>
      <c r="M375" s="8" t="n">
        <v>34026.22</v>
      </c>
      <c r="N375" s="8" t="n">
        <v>440426</v>
      </c>
      <c r="O375" s="5" t="n">
        <v>21.1</v>
      </c>
      <c r="P375" s="9" t="n">
        <v>5.87</v>
      </c>
      <c r="Q375" s="5" t="n">
        <v>0.24</v>
      </c>
      <c r="R375" s="5" t="s">
        <v>95</v>
      </c>
      <c r="S375" s="5" t="s">
        <v>165</v>
      </c>
      <c r="T375" s="5" t="n">
        <v>95</v>
      </c>
      <c r="U375" s="5" t="s">
        <v>80</v>
      </c>
      <c r="V375" s="5" t="s">
        <v>1169</v>
      </c>
    </row>
    <row r="376" customFormat="false" ht="15" hidden="false" customHeight="false" outlineLevel="0" collapsed="false">
      <c r="A376" s="5" t="n">
        <v>375</v>
      </c>
      <c r="B376" s="5" t="s">
        <v>1170</v>
      </c>
      <c r="C376" s="6" t="s">
        <v>49</v>
      </c>
      <c r="D376" s="5" t="s">
        <v>223</v>
      </c>
      <c r="E376" s="5" t="s">
        <v>224</v>
      </c>
      <c r="F376" s="5" t="s">
        <v>212</v>
      </c>
      <c r="G376" s="5" t="s">
        <v>213</v>
      </c>
      <c r="H376" s="5" t="s">
        <v>93</v>
      </c>
      <c r="I376" s="5" t="s">
        <v>94</v>
      </c>
      <c r="J376" s="7" t="n">
        <v>2577</v>
      </c>
      <c r="K376" s="8" t="n">
        <v>14800</v>
      </c>
      <c r="L376" s="8" t="n">
        <v>16</v>
      </c>
      <c r="M376" s="8" t="n">
        <v>256225</v>
      </c>
      <c r="N376" s="8" t="n">
        <v>1332576</v>
      </c>
      <c r="O376" s="5" t="n">
        <v>46.3</v>
      </c>
      <c r="P376" s="9" t="n">
        <v>1.93</v>
      </c>
      <c r="Q376" s="5" t="n">
        <v>13.15</v>
      </c>
      <c r="R376" s="5" t="s">
        <v>53</v>
      </c>
      <c r="S376" s="5" t="s">
        <v>165</v>
      </c>
      <c r="T376" s="5" t="n">
        <v>95</v>
      </c>
      <c r="U376" s="5" t="s">
        <v>80</v>
      </c>
      <c r="V376" s="5" t="s">
        <v>1171</v>
      </c>
    </row>
    <row r="377" customFormat="false" ht="15" hidden="false" customHeight="false" outlineLevel="0" collapsed="false">
      <c r="A377" s="5" t="n">
        <v>376</v>
      </c>
      <c r="B377" s="5" t="s">
        <v>1172</v>
      </c>
      <c r="C377" s="6" t="s">
        <v>49</v>
      </c>
      <c r="D377" s="5" t="s">
        <v>554</v>
      </c>
      <c r="E377" s="5" t="s">
        <v>555</v>
      </c>
      <c r="F377" s="5" t="s">
        <v>76</v>
      </c>
      <c r="G377" s="5" t="s">
        <v>101</v>
      </c>
      <c r="H377" s="5" t="s">
        <v>93</v>
      </c>
      <c r="I377" s="5" t="s">
        <v>94</v>
      </c>
      <c r="J377" s="7" t="n">
        <v>2576</v>
      </c>
      <c r="K377" s="8" t="n">
        <v>8320</v>
      </c>
      <c r="L377" s="8" t="n">
        <v>46</v>
      </c>
      <c r="M377" s="8" t="n">
        <v>24073.41</v>
      </c>
      <c r="N377" s="8" t="n">
        <v>562952</v>
      </c>
      <c r="O377" s="5" t="n">
        <v>41.6</v>
      </c>
      <c r="P377" s="9" t="n">
        <v>4.58</v>
      </c>
      <c r="Q377" s="5" t="n">
        <v>1.34</v>
      </c>
      <c r="R377" s="5" t="s">
        <v>53</v>
      </c>
      <c r="S377" s="5" t="s">
        <v>79</v>
      </c>
      <c r="T377" s="5" t="n">
        <v>96</v>
      </c>
      <c r="U377" s="5" t="s">
        <v>80</v>
      </c>
      <c r="V377" s="5" t="s">
        <v>1173</v>
      </c>
    </row>
    <row r="378" customFormat="false" ht="15" hidden="false" customHeight="false" outlineLevel="0" collapsed="false">
      <c r="A378" s="5" t="n">
        <v>377</v>
      </c>
      <c r="B378" s="5" t="s">
        <v>1174</v>
      </c>
      <c r="C378" s="6" t="s">
        <v>49</v>
      </c>
      <c r="D378" s="5" t="s">
        <v>844</v>
      </c>
      <c r="E378" s="5" t="s">
        <v>845</v>
      </c>
      <c r="F378" s="5"/>
      <c r="G378" s="5"/>
      <c r="H378" s="5" t="s">
        <v>1175</v>
      </c>
      <c r="I378" s="5"/>
      <c r="J378" s="7" t="n">
        <v>2574</v>
      </c>
      <c r="K378" s="8" t="n">
        <v>12100</v>
      </c>
      <c r="L378" s="8" t="n">
        <v>36</v>
      </c>
      <c r="M378" s="8" t="n">
        <v>76717</v>
      </c>
      <c r="N378" s="8" t="n">
        <v>1208909</v>
      </c>
      <c r="O378" s="5" t="n">
        <v>22</v>
      </c>
      <c r="P378" s="9" t="n">
        <v>2.13</v>
      </c>
      <c r="Q378" s="5" t="n">
        <v>4.3</v>
      </c>
      <c r="R378" s="5" t="s">
        <v>53</v>
      </c>
      <c r="S378" s="5" t="s">
        <v>1176</v>
      </c>
      <c r="T378" s="5" t="n">
        <v>92</v>
      </c>
      <c r="U378" s="5" t="s">
        <v>55</v>
      </c>
      <c r="V378" s="5" t="s">
        <v>1177</v>
      </c>
    </row>
    <row r="379" customFormat="false" ht="15" hidden="false" customHeight="false" outlineLevel="0" collapsed="false">
      <c r="A379" s="5" t="n">
        <v>378</v>
      </c>
      <c r="B379" s="5" t="s">
        <v>1178</v>
      </c>
      <c r="C379" s="6" t="s">
        <v>49</v>
      </c>
      <c r="D379" s="5" t="s">
        <v>50</v>
      </c>
      <c r="E379" s="5" t="s">
        <v>51</v>
      </c>
      <c r="F379" s="5"/>
      <c r="G379" s="5"/>
      <c r="H379" s="5" t="s">
        <v>1179</v>
      </c>
      <c r="I379" s="5"/>
      <c r="J379" s="7" t="n">
        <v>2572</v>
      </c>
      <c r="K379" s="8" t="n">
        <v>88400</v>
      </c>
      <c r="L379" s="8" t="n">
        <v>273</v>
      </c>
      <c r="M379" s="8" t="n">
        <v>15367</v>
      </c>
      <c r="N379" s="8" t="n">
        <v>1634293</v>
      </c>
      <c r="O379" s="5" t="n">
        <v>10</v>
      </c>
      <c r="P379" s="9" t="n">
        <v>1.57</v>
      </c>
      <c r="Q379" s="5" t="n">
        <v>0.48</v>
      </c>
      <c r="R379" s="5" t="s">
        <v>53</v>
      </c>
      <c r="S379" s="5" t="s">
        <v>1180</v>
      </c>
      <c r="T379" s="5" t="n">
        <v>14</v>
      </c>
      <c r="U379" s="5" t="s">
        <v>55</v>
      </c>
      <c r="V379" s="5" t="s">
        <v>1181</v>
      </c>
    </row>
    <row r="380" customFormat="false" ht="15" hidden="false" customHeight="false" outlineLevel="0" collapsed="false">
      <c r="A380" s="5" t="n">
        <v>379</v>
      </c>
      <c r="B380" s="5" t="s">
        <v>1182</v>
      </c>
      <c r="C380" s="6" t="s">
        <v>49</v>
      </c>
      <c r="D380" s="5" t="s">
        <v>739</v>
      </c>
      <c r="E380" s="5" t="s">
        <v>740</v>
      </c>
      <c r="F380" s="5"/>
      <c r="G380" s="5"/>
      <c r="H380" s="5" t="s">
        <v>1183</v>
      </c>
      <c r="I380" s="5"/>
      <c r="J380" s="7" t="n">
        <v>2571</v>
      </c>
      <c r="K380" s="8" t="n">
        <v>25300</v>
      </c>
      <c r="L380" s="8" t="n">
        <v>17</v>
      </c>
      <c r="M380" s="8" t="n">
        <v>185059</v>
      </c>
      <c r="N380" s="8" t="n">
        <v>1329630</v>
      </c>
      <c r="O380" s="5" t="n">
        <v>19.5</v>
      </c>
      <c r="P380" s="9" t="n">
        <v>1.93</v>
      </c>
      <c r="Q380" s="5" t="n">
        <v>15.1</v>
      </c>
      <c r="R380" s="5" t="s">
        <v>53</v>
      </c>
      <c r="S380" s="5" t="s">
        <v>71</v>
      </c>
      <c r="T380" s="5" t="n">
        <v>153</v>
      </c>
      <c r="U380" s="5" t="s">
        <v>55</v>
      </c>
      <c r="V380" s="5" t="s">
        <v>1184</v>
      </c>
    </row>
    <row r="381" customFormat="false" ht="15" hidden="false" customHeight="false" outlineLevel="0" collapsed="false">
      <c r="A381" s="5" t="n">
        <v>380</v>
      </c>
      <c r="B381" s="5" t="s">
        <v>1185</v>
      </c>
      <c r="C381" s="6" t="s">
        <v>49</v>
      </c>
      <c r="D381" s="5" t="s">
        <v>200</v>
      </c>
      <c r="E381" s="5" t="s">
        <v>201</v>
      </c>
      <c r="F381" s="5" t="s">
        <v>76</v>
      </c>
      <c r="G381" s="5"/>
      <c r="H381" s="5" t="s">
        <v>1186</v>
      </c>
      <c r="I381" s="5" t="s">
        <v>78</v>
      </c>
      <c r="J381" s="7" t="n">
        <v>2563</v>
      </c>
      <c r="K381" s="8" t="n">
        <v>4400</v>
      </c>
      <c r="L381" s="8" t="n">
        <v>53</v>
      </c>
      <c r="M381" s="8" t="n">
        <v>30182.23</v>
      </c>
      <c r="N381" s="8" t="n">
        <v>1253992</v>
      </c>
      <c r="O381" s="5" t="n">
        <v>31.6</v>
      </c>
      <c r="P381" s="9" t="n">
        <v>2.04</v>
      </c>
      <c r="Q381" s="5" t="n">
        <v>1.85</v>
      </c>
      <c r="R381" s="5" t="s">
        <v>53</v>
      </c>
      <c r="S381" s="5" t="s">
        <v>184</v>
      </c>
      <c r="T381" s="5" t="n">
        <v>64</v>
      </c>
      <c r="U381" s="5" t="s">
        <v>80</v>
      </c>
      <c r="V381" s="5" t="s">
        <v>1187</v>
      </c>
    </row>
    <row r="382" customFormat="false" ht="15" hidden="false" customHeight="false" outlineLevel="0" collapsed="false">
      <c r="A382" s="5" t="n">
        <v>381</v>
      </c>
      <c r="B382" s="5" t="s">
        <v>1188</v>
      </c>
      <c r="C382" s="6" t="s">
        <v>49</v>
      </c>
      <c r="D382" s="5" t="s">
        <v>719</v>
      </c>
      <c r="E382" s="5" t="s">
        <v>720</v>
      </c>
      <c r="F382" s="5" t="s">
        <v>76</v>
      </c>
      <c r="G382" s="5" t="s">
        <v>101</v>
      </c>
      <c r="H382" s="5" t="s">
        <v>102</v>
      </c>
      <c r="I382" s="5" t="s">
        <v>94</v>
      </c>
      <c r="J382" s="7" t="n">
        <v>2560</v>
      </c>
      <c r="K382" s="8" t="n">
        <v>6360</v>
      </c>
      <c r="L382" s="8" t="n">
        <v>23</v>
      </c>
      <c r="M382" s="8" t="n">
        <v>81152.17</v>
      </c>
      <c r="N382" s="8" t="n">
        <v>898765</v>
      </c>
      <c r="O382" s="5" t="n">
        <v>11.5</v>
      </c>
      <c r="P382" s="9" t="n">
        <v>2.85</v>
      </c>
      <c r="Q382" s="5" t="n">
        <v>6.47</v>
      </c>
      <c r="R382" s="5" t="s">
        <v>95</v>
      </c>
      <c r="S382" s="5" t="s">
        <v>116</v>
      </c>
      <c r="T382" s="5" t="n">
        <v>126</v>
      </c>
      <c r="U382" s="5" t="s">
        <v>80</v>
      </c>
      <c r="V382" s="5" t="s">
        <v>1189</v>
      </c>
    </row>
    <row r="383" customFormat="false" ht="15" hidden="false" customHeight="false" outlineLevel="0" collapsed="false">
      <c r="A383" s="5" t="n">
        <v>382</v>
      </c>
      <c r="B383" s="5" t="s">
        <v>1190</v>
      </c>
      <c r="C383" s="6" t="s">
        <v>49</v>
      </c>
      <c r="D383" s="5" t="s">
        <v>139</v>
      </c>
      <c r="E383" s="5" t="s">
        <v>140</v>
      </c>
      <c r="F383" s="5" t="s">
        <v>76</v>
      </c>
      <c r="G383" s="5"/>
      <c r="H383" s="5" t="s">
        <v>581</v>
      </c>
      <c r="I383" s="5" t="s">
        <v>256</v>
      </c>
      <c r="J383" s="7" t="n">
        <v>2548</v>
      </c>
      <c r="K383" s="8" t="n">
        <v>55900</v>
      </c>
      <c r="L383" s="8" t="n">
        <v>97</v>
      </c>
      <c r="M383" s="8" t="n">
        <v>58184.35</v>
      </c>
      <c r="N383" s="8" t="n">
        <v>529325</v>
      </c>
      <c r="O383" s="5" t="n">
        <v>23.2</v>
      </c>
      <c r="P383" s="9" t="n">
        <v>4.81</v>
      </c>
      <c r="Q383" s="5" t="n">
        <v>0.43</v>
      </c>
      <c r="R383" s="5" t="s">
        <v>95</v>
      </c>
      <c r="S383" s="5" t="s">
        <v>116</v>
      </c>
      <c r="T383" s="5" t="n">
        <v>126</v>
      </c>
      <c r="U383" s="5" t="s">
        <v>80</v>
      </c>
      <c r="V383" s="5" t="s">
        <v>1191</v>
      </c>
    </row>
    <row r="384" customFormat="false" ht="15" hidden="false" customHeight="false" outlineLevel="0" collapsed="false">
      <c r="A384" s="5" t="n">
        <v>383</v>
      </c>
      <c r="B384" s="5" t="s">
        <v>1192</v>
      </c>
      <c r="C384" s="6" t="s">
        <v>49</v>
      </c>
      <c r="D384" s="5" t="s">
        <v>1193</v>
      </c>
      <c r="E384" s="5" t="s">
        <v>1194</v>
      </c>
      <c r="F384" s="5" t="s">
        <v>76</v>
      </c>
      <c r="G384" s="5"/>
      <c r="H384" s="5" t="s">
        <v>131</v>
      </c>
      <c r="I384" s="5" t="s">
        <v>94</v>
      </c>
      <c r="J384" s="7" t="n">
        <v>2547</v>
      </c>
      <c r="K384" s="8" t="n">
        <v>13900</v>
      </c>
      <c r="L384" s="8" t="n">
        <v>82</v>
      </c>
      <c r="M384" s="8" t="n">
        <v>53419.14</v>
      </c>
      <c r="N384" s="8" t="n">
        <v>558968</v>
      </c>
      <c r="O384" s="5" t="n">
        <v>40.2</v>
      </c>
      <c r="P384" s="9" t="n">
        <v>4.56</v>
      </c>
      <c r="Q384" s="5" t="n">
        <v>1.25</v>
      </c>
      <c r="R384" s="5" t="s">
        <v>53</v>
      </c>
      <c r="S384" s="5" t="s">
        <v>116</v>
      </c>
      <c r="T384" s="5" t="n">
        <v>126</v>
      </c>
      <c r="U384" s="5" t="s">
        <v>80</v>
      </c>
      <c r="V384" s="5" t="s">
        <v>1195</v>
      </c>
    </row>
    <row r="385" customFormat="false" ht="15" hidden="false" customHeight="false" outlineLevel="0" collapsed="false">
      <c r="A385" s="5" t="n">
        <v>384</v>
      </c>
      <c r="B385" s="5" t="s">
        <v>1196</v>
      </c>
      <c r="C385" s="6" t="s">
        <v>49</v>
      </c>
      <c r="D385" s="5" t="s">
        <v>303</v>
      </c>
      <c r="E385" s="5" t="s">
        <v>304</v>
      </c>
      <c r="F385" s="5" t="s">
        <v>76</v>
      </c>
      <c r="G385" s="5"/>
      <c r="H385" s="5" t="s">
        <v>77</v>
      </c>
      <c r="I385" s="5" t="s">
        <v>122</v>
      </c>
      <c r="J385" s="7" t="n">
        <v>2547</v>
      </c>
      <c r="K385" s="8" t="n">
        <v>1780</v>
      </c>
      <c r="L385" s="8" t="n">
        <v>38</v>
      </c>
      <c r="M385" s="8" t="n">
        <v>13099.66</v>
      </c>
      <c r="N385" s="8" t="n">
        <v>378855</v>
      </c>
      <c r="O385" s="5" t="n">
        <v>92.2</v>
      </c>
      <c r="P385" s="9" t="n">
        <v>6.72</v>
      </c>
      <c r="Q385" s="5" t="n">
        <v>1.81</v>
      </c>
      <c r="R385" s="5" t="s">
        <v>53</v>
      </c>
      <c r="S385" s="5" t="s">
        <v>96</v>
      </c>
      <c r="T385" s="5" t="n">
        <v>33</v>
      </c>
      <c r="U385" s="5" t="s">
        <v>80</v>
      </c>
      <c r="V385" s="5" t="s">
        <v>1197</v>
      </c>
    </row>
    <row r="386" customFormat="false" ht="15" hidden="false" customHeight="false" outlineLevel="0" collapsed="false">
      <c r="A386" s="5" t="n">
        <v>385</v>
      </c>
      <c r="B386" s="5" t="s">
        <v>1198</v>
      </c>
      <c r="C386" s="6" t="s">
        <v>49</v>
      </c>
      <c r="D386" s="5" t="s">
        <v>274</v>
      </c>
      <c r="E386" s="5" t="s">
        <v>275</v>
      </c>
      <c r="F386" s="5" t="s">
        <v>76</v>
      </c>
      <c r="G386" s="5" t="s">
        <v>101</v>
      </c>
      <c r="H386" s="5" t="s">
        <v>131</v>
      </c>
      <c r="I386" s="5" t="s">
        <v>94</v>
      </c>
      <c r="J386" s="7" t="n">
        <v>2537</v>
      </c>
      <c r="K386" s="8" t="n">
        <v>28900</v>
      </c>
      <c r="L386" s="8" t="n">
        <v>29</v>
      </c>
      <c r="M386" s="8" t="n">
        <v>123968.97</v>
      </c>
      <c r="N386" s="8" t="n">
        <v>928193</v>
      </c>
      <c r="O386" s="5" t="n">
        <v>28.6</v>
      </c>
      <c r="P386" s="9" t="n">
        <v>2.73</v>
      </c>
      <c r="Q386" s="5" t="n">
        <v>0.99</v>
      </c>
      <c r="R386" s="5" t="s">
        <v>53</v>
      </c>
      <c r="S386" s="5" t="s">
        <v>116</v>
      </c>
      <c r="T386" s="5" t="n">
        <v>126</v>
      </c>
      <c r="U386" s="5" t="s">
        <v>80</v>
      </c>
      <c r="V386" s="5" t="s">
        <v>1199</v>
      </c>
    </row>
    <row r="387" customFormat="false" ht="15" hidden="false" customHeight="false" outlineLevel="0" collapsed="false">
      <c r="A387" s="5" t="n">
        <v>386</v>
      </c>
      <c r="B387" s="5" t="s">
        <v>1200</v>
      </c>
      <c r="C387" s="6" t="s">
        <v>49</v>
      </c>
      <c r="D387" s="5" t="s">
        <v>162</v>
      </c>
      <c r="E387" s="5" t="s">
        <v>163</v>
      </c>
      <c r="F387" s="5" t="s">
        <v>212</v>
      </c>
      <c r="G387" s="5" t="s">
        <v>213</v>
      </c>
      <c r="H387" s="5" t="s">
        <v>484</v>
      </c>
      <c r="I387" s="5" t="s">
        <v>300</v>
      </c>
      <c r="J387" s="7" t="n">
        <v>2524</v>
      </c>
      <c r="K387" s="8" t="n">
        <v>9450</v>
      </c>
      <c r="L387" s="8" t="n">
        <v>74</v>
      </c>
      <c r="M387" s="8" t="n">
        <v>25689.58</v>
      </c>
      <c r="N387" s="8" t="n">
        <v>872892</v>
      </c>
      <c r="O387" s="5" t="n">
        <v>88.5</v>
      </c>
      <c r="P387" s="9" t="n">
        <v>2.89</v>
      </c>
      <c r="Q387" s="5" t="n">
        <v>2.38</v>
      </c>
      <c r="R387" s="5" t="s">
        <v>95</v>
      </c>
      <c r="S387" s="5" t="s">
        <v>96</v>
      </c>
      <c r="T387" s="5" t="n">
        <v>33</v>
      </c>
      <c r="U387" s="5" t="s">
        <v>80</v>
      </c>
      <c r="V387" s="5" t="s">
        <v>1201</v>
      </c>
    </row>
    <row r="388" customFormat="false" ht="15" hidden="false" customHeight="false" outlineLevel="0" collapsed="false">
      <c r="A388" s="5" t="n">
        <v>387</v>
      </c>
      <c r="B388" s="5" t="s">
        <v>1202</v>
      </c>
      <c r="C388" s="6" t="s">
        <v>49</v>
      </c>
      <c r="D388" s="5" t="s">
        <v>851</v>
      </c>
      <c r="E388" s="5" t="s">
        <v>852</v>
      </c>
      <c r="F388" s="5" t="s">
        <v>76</v>
      </c>
      <c r="G388" s="5" t="s">
        <v>309</v>
      </c>
      <c r="H388" s="5" t="s">
        <v>93</v>
      </c>
      <c r="I388" s="5" t="s">
        <v>94</v>
      </c>
      <c r="J388" s="7" t="n">
        <v>2509</v>
      </c>
      <c r="K388" s="8" t="n">
        <v>2070</v>
      </c>
      <c r="L388" s="8" t="n">
        <v>39</v>
      </c>
      <c r="M388" s="8" t="n">
        <v>14913.36</v>
      </c>
      <c r="N388" s="8" t="n">
        <v>376703</v>
      </c>
      <c r="O388" s="5" t="n">
        <v>33.4</v>
      </c>
      <c r="P388" s="9" t="n">
        <v>6.66</v>
      </c>
      <c r="Q388" s="5" t="n">
        <v>1.12</v>
      </c>
      <c r="R388" s="5" t="s">
        <v>53</v>
      </c>
      <c r="S388" s="5" t="s">
        <v>184</v>
      </c>
      <c r="T388" s="5" t="n">
        <v>64</v>
      </c>
      <c r="U388" s="5" t="s">
        <v>80</v>
      </c>
      <c r="V388" s="5" t="s">
        <v>1203</v>
      </c>
    </row>
    <row r="389" customFormat="false" ht="15" hidden="false" customHeight="false" outlineLevel="0" collapsed="false">
      <c r="A389" s="5" t="n">
        <v>388</v>
      </c>
      <c r="B389" s="5" t="s">
        <v>1204</v>
      </c>
      <c r="C389" s="6" t="s">
        <v>49</v>
      </c>
      <c r="D389" s="5" t="s">
        <v>903</v>
      </c>
      <c r="E389" s="5" t="s">
        <v>904</v>
      </c>
      <c r="F389" s="5" t="s">
        <v>76</v>
      </c>
      <c r="G389" s="5" t="s">
        <v>101</v>
      </c>
      <c r="H389" s="5" t="s">
        <v>237</v>
      </c>
      <c r="I389" s="5" t="s">
        <v>94</v>
      </c>
      <c r="J389" s="7" t="n">
        <v>2492</v>
      </c>
      <c r="K389" s="8" t="n">
        <v>7680</v>
      </c>
      <c r="L389" s="8" t="n">
        <v>61</v>
      </c>
      <c r="M389" s="8" t="n">
        <v>23772.28</v>
      </c>
      <c r="N389" s="8" t="n">
        <v>404824</v>
      </c>
      <c r="O389" s="5" t="n">
        <v>26.4</v>
      </c>
      <c r="P389" s="9" t="n">
        <v>6.15</v>
      </c>
      <c r="Q389" s="5" t="n">
        <v>1.41</v>
      </c>
      <c r="R389" s="5" t="s">
        <v>95</v>
      </c>
      <c r="S389" s="5" t="s">
        <v>79</v>
      </c>
      <c r="T389" s="5" t="n">
        <v>96</v>
      </c>
      <c r="U389" s="5" t="s">
        <v>80</v>
      </c>
      <c r="V389" s="5" t="s">
        <v>1205</v>
      </c>
    </row>
    <row r="390" customFormat="false" ht="15" hidden="false" customHeight="false" outlineLevel="0" collapsed="false">
      <c r="A390" s="5" t="n">
        <v>389</v>
      </c>
      <c r="B390" s="5" t="s">
        <v>1206</v>
      </c>
      <c r="C390" s="6" t="s">
        <v>49</v>
      </c>
      <c r="D390" s="5" t="s">
        <v>719</v>
      </c>
      <c r="E390" s="5" t="s">
        <v>720</v>
      </c>
      <c r="F390" s="5" t="s">
        <v>212</v>
      </c>
      <c r="G390" s="5" t="s">
        <v>219</v>
      </c>
      <c r="H390" s="5" t="s">
        <v>1008</v>
      </c>
      <c r="I390" s="5" t="s">
        <v>94</v>
      </c>
      <c r="J390" s="7" t="n">
        <v>2487</v>
      </c>
      <c r="K390" s="8" t="n">
        <v>14400</v>
      </c>
      <c r="L390" s="8" t="n">
        <v>12</v>
      </c>
      <c r="M390" s="8" t="n">
        <v>168400.67</v>
      </c>
      <c r="N390" s="8" t="n">
        <v>1574299</v>
      </c>
      <c r="O390" s="5" t="n">
        <v>21.6</v>
      </c>
      <c r="P390" s="9" t="n">
        <v>1.58</v>
      </c>
      <c r="Q390" s="5" t="n">
        <v>3.4</v>
      </c>
      <c r="R390" s="5" t="s">
        <v>53</v>
      </c>
      <c r="S390" s="5" t="s">
        <v>184</v>
      </c>
      <c r="T390" s="5" t="n">
        <v>64</v>
      </c>
      <c r="U390" s="5" t="s">
        <v>80</v>
      </c>
      <c r="V390" s="5" t="s">
        <v>1207</v>
      </c>
    </row>
    <row r="391" customFormat="false" ht="15" hidden="false" customHeight="false" outlineLevel="0" collapsed="false">
      <c r="A391" s="5" t="n">
        <v>390</v>
      </c>
      <c r="B391" s="5" t="s">
        <v>1208</v>
      </c>
      <c r="C391" s="6" t="s">
        <v>49</v>
      </c>
      <c r="D391" s="5" t="s">
        <v>351</v>
      </c>
      <c r="E391" s="5" t="s">
        <v>352</v>
      </c>
      <c r="F391" s="5" t="s">
        <v>212</v>
      </c>
      <c r="G391" s="5" t="s">
        <v>213</v>
      </c>
      <c r="H391" s="5" t="s">
        <v>289</v>
      </c>
      <c r="I391" s="5" t="s">
        <v>94</v>
      </c>
      <c r="J391" s="7" t="n">
        <v>2484</v>
      </c>
      <c r="K391" s="8" t="n">
        <v>17900</v>
      </c>
      <c r="L391" s="8" t="n">
        <v>79</v>
      </c>
      <c r="M391" s="8" t="n">
        <v>53406.42</v>
      </c>
      <c r="N391" s="8" t="n">
        <v>1902577</v>
      </c>
      <c r="O391" s="5" t="n">
        <v>36.7</v>
      </c>
      <c r="P391" s="9" t="n">
        <v>1.31</v>
      </c>
      <c r="Q391" s="5" t="n">
        <v>0.71</v>
      </c>
      <c r="R391" s="5" t="s">
        <v>53</v>
      </c>
      <c r="S391" s="5" t="s">
        <v>184</v>
      </c>
      <c r="T391" s="5" t="n">
        <v>64</v>
      </c>
      <c r="U391" s="5" t="s">
        <v>80</v>
      </c>
      <c r="V391" s="5" t="s">
        <v>1209</v>
      </c>
    </row>
    <row r="392" customFormat="false" ht="15" hidden="false" customHeight="false" outlineLevel="0" collapsed="false">
      <c r="A392" s="5" t="n">
        <v>391</v>
      </c>
      <c r="B392" s="5" t="s">
        <v>1210</v>
      </c>
      <c r="C392" s="6" t="s">
        <v>49</v>
      </c>
      <c r="D392" s="5" t="s">
        <v>227</v>
      </c>
      <c r="E392" s="5" t="s">
        <v>228</v>
      </c>
      <c r="F392" s="5" t="s">
        <v>76</v>
      </c>
      <c r="G392" s="5" t="s">
        <v>101</v>
      </c>
      <c r="H392" s="5" t="s">
        <v>93</v>
      </c>
      <c r="I392" s="5" t="s">
        <v>94</v>
      </c>
      <c r="J392" s="7" t="n">
        <v>2464</v>
      </c>
      <c r="K392" s="8" t="n">
        <v>7470</v>
      </c>
      <c r="L392" s="8" t="n">
        <v>63</v>
      </c>
      <c r="M392" s="8" t="n">
        <v>14563.49</v>
      </c>
      <c r="N392" s="8" t="n">
        <v>331067</v>
      </c>
      <c r="O392" s="5" t="n">
        <v>113.6</v>
      </c>
      <c r="P392" s="9" t="n">
        <v>7.44</v>
      </c>
      <c r="Q392" s="5" t="n">
        <v>2.59</v>
      </c>
      <c r="R392" s="5" t="s">
        <v>95</v>
      </c>
      <c r="S392" s="5" t="s">
        <v>116</v>
      </c>
      <c r="T392" s="5" t="n">
        <v>126</v>
      </c>
      <c r="U392" s="5" t="s">
        <v>80</v>
      </c>
      <c r="V392" s="5" t="s">
        <v>1211</v>
      </c>
    </row>
    <row r="393" customFormat="false" ht="15" hidden="false" customHeight="false" outlineLevel="0" collapsed="false">
      <c r="A393" s="5" t="n">
        <v>392</v>
      </c>
      <c r="B393" s="5" t="s">
        <v>1212</v>
      </c>
      <c r="C393" s="6" t="s">
        <v>49</v>
      </c>
      <c r="D393" s="5" t="s">
        <v>675</v>
      </c>
      <c r="E393" s="5" t="s">
        <v>676</v>
      </c>
      <c r="F393" s="5" t="s">
        <v>76</v>
      </c>
      <c r="G393" s="5" t="s">
        <v>101</v>
      </c>
      <c r="H393" s="5" t="s">
        <v>677</v>
      </c>
      <c r="I393" s="5" t="s">
        <v>94</v>
      </c>
      <c r="J393" s="7" t="n">
        <v>2463</v>
      </c>
      <c r="K393" s="8" t="n">
        <v>7680</v>
      </c>
      <c r="L393" s="8" t="n">
        <v>37</v>
      </c>
      <c r="M393" s="8" t="n">
        <v>50407.32</v>
      </c>
      <c r="N393" s="8" t="n">
        <v>558530</v>
      </c>
      <c r="O393" s="5" t="n">
        <v>31.2</v>
      </c>
      <c r="P393" s="9" t="n">
        <v>4.41</v>
      </c>
      <c r="Q393" s="5" t="n">
        <v>4.71</v>
      </c>
      <c r="R393" s="5" t="s">
        <v>53</v>
      </c>
      <c r="S393" s="5" t="s">
        <v>103</v>
      </c>
      <c r="T393" s="5" t="n">
        <v>65</v>
      </c>
      <c r="U393" s="5" t="s">
        <v>80</v>
      </c>
      <c r="V393" s="5" t="s">
        <v>1213</v>
      </c>
    </row>
    <row r="394" customFormat="false" ht="15" hidden="false" customHeight="false" outlineLevel="0" collapsed="false">
      <c r="A394" s="5" t="n">
        <v>393</v>
      </c>
      <c r="B394" s="5" t="s">
        <v>1214</v>
      </c>
      <c r="C394" s="6" t="s">
        <v>49</v>
      </c>
      <c r="D394" s="5" t="s">
        <v>89</v>
      </c>
      <c r="E394" s="5" t="s">
        <v>90</v>
      </c>
      <c r="F394" s="5" t="s">
        <v>212</v>
      </c>
      <c r="G394" s="5" t="s">
        <v>213</v>
      </c>
      <c r="H394" s="5" t="s">
        <v>93</v>
      </c>
      <c r="I394" s="5" t="s">
        <v>94</v>
      </c>
      <c r="J394" s="7" t="n">
        <v>2447</v>
      </c>
      <c r="K394" s="8" t="n">
        <v>12100</v>
      </c>
      <c r="L394" s="8" t="n">
        <v>113</v>
      </c>
      <c r="M394" s="8" t="n">
        <v>22915.79</v>
      </c>
      <c r="N394" s="8" t="n">
        <v>1265606</v>
      </c>
      <c r="O394" s="5" t="n">
        <v>32.1</v>
      </c>
      <c r="P394" s="9" t="n">
        <v>1.93</v>
      </c>
      <c r="Q394" s="5" t="n">
        <v>0.73</v>
      </c>
      <c r="R394" s="5" t="s">
        <v>95</v>
      </c>
      <c r="S394" s="5" t="s">
        <v>165</v>
      </c>
      <c r="T394" s="5" t="n">
        <v>95</v>
      </c>
      <c r="U394" s="5" t="s">
        <v>80</v>
      </c>
      <c r="V394" s="5" t="s">
        <v>1215</v>
      </c>
    </row>
    <row r="395" customFormat="false" ht="15" hidden="false" customHeight="false" outlineLevel="0" collapsed="false">
      <c r="A395" s="5" t="n">
        <v>394</v>
      </c>
      <c r="B395" s="5" t="s">
        <v>1216</v>
      </c>
      <c r="C395" s="6" t="s">
        <v>49</v>
      </c>
      <c r="D395" s="5" t="s">
        <v>139</v>
      </c>
      <c r="E395" s="5" t="s">
        <v>140</v>
      </c>
      <c r="F395" s="5" t="s">
        <v>76</v>
      </c>
      <c r="G395" s="5" t="s">
        <v>101</v>
      </c>
      <c r="H395" s="5" t="s">
        <v>93</v>
      </c>
      <c r="I395" s="5" t="s">
        <v>94</v>
      </c>
      <c r="J395" s="7" t="n">
        <v>2443</v>
      </c>
      <c r="K395" s="8" t="n">
        <v>7080</v>
      </c>
      <c r="L395" s="8" t="n">
        <v>122</v>
      </c>
      <c r="M395" s="8" t="n">
        <v>9709.36</v>
      </c>
      <c r="N395" s="8" t="n">
        <v>581297</v>
      </c>
      <c r="O395" s="5" t="n">
        <v>21.1</v>
      </c>
      <c r="P395" s="9" t="n">
        <v>4.2</v>
      </c>
      <c r="Q395" s="5" t="n">
        <v>0.71</v>
      </c>
      <c r="R395" s="5" t="s">
        <v>95</v>
      </c>
      <c r="S395" s="5" t="s">
        <v>79</v>
      </c>
      <c r="T395" s="5" t="n">
        <v>96</v>
      </c>
      <c r="U395" s="5" t="s">
        <v>80</v>
      </c>
      <c r="V395" s="5" t="s">
        <v>1217</v>
      </c>
    </row>
    <row r="396" customFormat="false" ht="15" hidden="false" customHeight="false" outlineLevel="0" collapsed="false">
      <c r="A396" s="5" t="n">
        <v>395</v>
      </c>
      <c r="B396" s="5" t="s">
        <v>1218</v>
      </c>
      <c r="C396" s="6" t="s">
        <v>49</v>
      </c>
      <c r="D396" s="5" t="s">
        <v>307</v>
      </c>
      <c r="E396" s="5" t="s">
        <v>308</v>
      </c>
      <c r="F396" s="5" t="s">
        <v>76</v>
      </c>
      <c r="G396" s="5" t="s">
        <v>101</v>
      </c>
      <c r="H396" s="5" t="s">
        <v>310</v>
      </c>
      <c r="I396" s="5" t="s">
        <v>78</v>
      </c>
      <c r="J396" s="7" t="n">
        <v>2439</v>
      </c>
      <c r="K396" s="8" t="n">
        <v>4880</v>
      </c>
      <c r="L396" s="8" t="n">
        <v>86</v>
      </c>
      <c r="M396" s="8" t="n">
        <v>12226.5</v>
      </c>
      <c r="N396" s="8" t="n">
        <v>412199</v>
      </c>
      <c r="O396" s="5" t="n">
        <v>29.9</v>
      </c>
      <c r="P396" s="9" t="n">
        <v>5.92</v>
      </c>
      <c r="Q396" s="5" t="n">
        <v>1.4</v>
      </c>
      <c r="R396" s="5" t="s">
        <v>53</v>
      </c>
      <c r="S396" s="5" t="s">
        <v>103</v>
      </c>
      <c r="T396" s="5" t="n">
        <v>65</v>
      </c>
      <c r="U396" s="5" t="s">
        <v>80</v>
      </c>
      <c r="V396" s="5" t="s">
        <v>1219</v>
      </c>
    </row>
    <row r="397" customFormat="false" ht="15" hidden="false" customHeight="false" outlineLevel="0" collapsed="false">
      <c r="A397" s="5" t="n">
        <v>396</v>
      </c>
      <c r="B397" s="5" t="s">
        <v>1220</v>
      </c>
      <c r="C397" s="6" t="s">
        <v>49</v>
      </c>
      <c r="D397" s="5" t="s">
        <v>1193</v>
      </c>
      <c r="E397" s="5" t="s">
        <v>1194</v>
      </c>
      <c r="F397" s="5" t="s">
        <v>76</v>
      </c>
      <c r="G397" s="5" t="s">
        <v>101</v>
      </c>
      <c r="H397" s="5" t="s">
        <v>131</v>
      </c>
      <c r="I397" s="5" t="s">
        <v>94</v>
      </c>
      <c r="J397" s="7" t="n">
        <v>2433</v>
      </c>
      <c r="K397" s="8" t="n">
        <v>2350</v>
      </c>
      <c r="L397" s="8" t="n">
        <v>12</v>
      </c>
      <c r="M397" s="8" t="n">
        <v>39341.67</v>
      </c>
      <c r="N397" s="8" t="n">
        <v>156714</v>
      </c>
      <c r="O397" s="5" t="n">
        <v>106.3</v>
      </c>
      <c r="P397" s="9" t="n">
        <v>15.52</v>
      </c>
      <c r="Q397" s="5" t="n">
        <v>7.94</v>
      </c>
      <c r="R397" s="5" t="s">
        <v>53</v>
      </c>
      <c r="S397" s="5" t="s">
        <v>79</v>
      </c>
      <c r="T397" s="5" t="n">
        <v>96</v>
      </c>
      <c r="U397" s="5" t="s">
        <v>80</v>
      </c>
      <c r="V397" s="5" t="s">
        <v>1221</v>
      </c>
    </row>
    <row r="398" customFormat="false" ht="15" hidden="false" customHeight="false" outlineLevel="0" collapsed="false">
      <c r="A398" s="5" t="n">
        <v>397</v>
      </c>
      <c r="B398" s="5" t="s">
        <v>1222</v>
      </c>
      <c r="C398" s="6" t="s">
        <v>49</v>
      </c>
      <c r="D398" s="5" t="s">
        <v>554</v>
      </c>
      <c r="E398" s="5" t="s">
        <v>555</v>
      </c>
      <c r="F398" s="5" t="s">
        <v>76</v>
      </c>
      <c r="G398" s="5" t="s">
        <v>157</v>
      </c>
      <c r="H398" s="5" t="s">
        <v>93</v>
      </c>
      <c r="I398" s="5" t="s">
        <v>94</v>
      </c>
      <c r="J398" s="7" t="n">
        <v>2429</v>
      </c>
      <c r="K398" s="8" t="n">
        <v>8070</v>
      </c>
      <c r="L398" s="8" t="n">
        <v>49</v>
      </c>
      <c r="M398" s="8" t="n">
        <v>49728.94</v>
      </c>
      <c r="N398" s="8" t="n">
        <v>1171388</v>
      </c>
      <c r="O398" s="5" t="n">
        <v>25.2</v>
      </c>
      <c r="P398" s="9" t="n">
        <v>2.07</v>
      </c>
      <c r="Q398" s="5" t="n">
        <v>5.59</v>
      </c>
      <c r="R398" s="5" t="s">
        <v>95</v>
      </c>
      <c r="S398" s="5" t="s">
        <v>79</v>
      </c>
      <c r="T398" s="5" t="n">
        <v>96</v>
      </c>
      <c r="U398" s="5" t="s">
        <v>80</v>
      </c>
      <c r="V398" s="5" t="s">
        <v>1223</v>
      </c>
    </row>
    <row r="399" customFormat="false" ht="15" hidden="false" customHeight="false" outlineLevel="0" collapsed="false">
      <c r="A399" s="5" t="n">
        <v>398</v>
      </c>
      <c r="B399" s="5" t="s">
        <v>1224</v>
      </c>
      <c r="C399" s="6" t="s">
        <v>49</v>
      </c>
      <c r="D399" s="5" t="s">
        <v>162</v>
      </c>
      <c r="E399" s="5" t="s">
        <v>163</v>
      </c>
      <c r="F399" s="5"/>
      <c r="G399" s="5"/>
      <c r="H399" s="5" t="s">
        <v>1225</v>
      </c>
      <c r="I399" s="5"/>
      <c r="J399" s="7" t="n">
        <v>2426</v>
      </c>
      <c r="K399" s="8" t="n">
        <v>1150</v>
      </c>
      <c r="L399" s="8" t="n">
        <v>25</v>
      </c>
      <c r="M399" s="8" t="n">
        <v>10115</v>
      </c>
      <c r="N399" s="8" t="n">
        <v>252863</v>
      </c>
      <c r="O399" s="5" t="n">
        <v>42.6</v>
      </c>
      <c r="P399" s="9" t="n">
        <v>9.6</v>
      </c>
      <c r="Q399" s="5" t="n">
        <v>0.33</v>
      </c>
      <c r="R399" s="5" t="s">
        <v>95</v>
      </c>
      <c r="S399" s="5" t="s">
        <v>1226</v>
      </c>
      <c r="T399" s="5" t="n">
        <v>21</v>
      </c>
      <c r="U399" s="5" t="s">
        <v>55</v>
      </c>
      <c r="V399" s="5" t="s">
        <v>1227</v>
      </c>
    </row>
    <row r="400" customFormat="false" ht="15" hidden="false" customHeight="false" outlineLevel="0" collapsed="false">
      <c r="A400" s="5" t="n">
        <v>399</v>
      </c>
      <c r="B400" s="5" t="s">
        <v>1228</v>
      </c>
      <c r="C400" s="6" t="s">
        <v>49</v>
      </c>
      <c r="D400" s="5" t="s">
        <v>282</v>
      </c>
      <c r="E400" s="5" t="s">
        <v>283</v>
      </c>
      <c r="F400" s="5" t="s">
        <v>76</v>
      </c>
      <c r="G400" s="5" t="s">
        <v>309</v>
      </c>
      <c r="H400" s="5" t="s">
        <v>284</v>
      </c>
      <c r="I400" s="5" t="s">
        <v>94</v>
      </c>
      <c r="J400" s="7" t="n">
        <v>2414</v>
      </c>
      <c r="K400" s="8" t="n">
        <v>3560</v>
      </c>
      <c r="L400" s="8" t="n">
        <v>147</v>
      </c>
      <c r="M400" s="8" t="n">
        <v>15187.36</v>
      </c>
      <c r="N400" s="8" t="n">
        <v>856623</v>
      </c>
      <c r="O400" s="5" t="n">
        <v>20.6</v>
      </c>
      <c r="P400" s="9" t="n">
        <v>2.82</v>
      </c>
      <c r="Q400" s="5" t="n">
        <v>1.44</v>
      </c>
      <c r="R400" s="5" t="s">
        <v>95</v>
      </c>
      <c r="S400" s="5" t="s">
        <v>165</v>
      </c>
      <c r="T400" s="5" t="n">
        <v>95</v>
      </c>
      <c r="U400" s="5" t="s">
        <v>80</v>
      </c>
      <c r="V400" s="5" t="s">
        <v>1229</v>
      </c>
    </row>
    <row r="401" customFormat="false" ht="15" hidden="false" customHeight="false" outlineLevel="0" collapsed="false">
      <c r="A401" s="5" t="n">
        <v>400</v>
      </c>
      <c r="B401" s="5" t="s">
        <v>1230</v>
      </c>
      <c r="C401" s="6" t="s">
        <v>49</v>
      </c>
      <c r="D401" s="5" t="s">
        <v>665</v>
      </c>
      <c r="E401" s="5" t="s">
        <v>666</v>
      </c>
      <c r="F401" s="5"/>
      <c r="G401" s="5"/>
      <c r="H401" s="5" t="s">
        <v>1231</v>
      </c>
      <c r="I401" s="5"/>
      <c r="J401" s="7" t="n">
        <v>2411</v>
      </c>
      <c r="K401" s="8" t="n">
        <v>2280</v>
      </c>
      <c r="L401" s="8" t="n">
        <v>119</v>
      </c>
      <c r="M401" s="8" t="n">
        <v>5661</v>
      </c>
      <c r="N401" s="8" t="n">
        <v>432477</v>
      </c>
      <c r="O401" s="5" t="n">
        <v>31.4</v>
      </c>
      <c r="P401" s="9" t="n">
        <v>5.58</v>
      </c>
      <c r="Q401" s="5" t="n">
        <v>0.09</v>
      </c>
      <c r="R401" s="5" t="s">
        <v>53</v>
      </c>
      <c r="S401" s="5" t="s">
        <v>71</v>
      </c>
      <c r="T401" s="5" t="n">
        <v>153</v>
      </c>
      <c r="U401" s="5" t="s">
        <v>55</v>
      </c>
      <c r="V401" s="5" t="s">
        <v>1232</v>
      </c>
    </row>
    <row r="402" customFormat="false" ht="15" hidden="false" customHeight="false" outlineLevel="0" collapsed="false">
      <c r="A402" s="5" t="n">
        <v>401</v>
      </c>
      <c r="B402" s="5" t="s">
        <v>1233</v>
      </c>
      <c r="C402" s="6" t="s">
        <v>49</v>
      </c>
      <c r="D402" s="5" t="s">
        <v>89</v>
      </c>
      <c r="E402" s="5" t="s">
        <v>90</v>
      </c>
      <c r="F402" s="5" t="s">
        <v>76</v>
      </c>
      <c r="G402" s="5" t="s">
        <v>101</v>
      </c>
      <c r="H402" s="5" t="s">
        <v>93</v>
      </c>
      <c r="I402" s="5" t="s">
        <v>94</v>
      </c>
      <c r="J402" s="7" t="n">
        <v>2408</v>
      </c>
      <c r="K402" s="8" t="n">
        <v>2370</v>
      </c>
      <c r="L402" s="8" t="n">
        <v>53</v>
      </c>
      <c r="M402" s="8" t="n">
        <v>11687.59</v>
      </c>
      <c r="N402" s="8" t="n">
        <v>375611</v>
      </c>
      <c r="O402" s="5" t="n">
        <v>33.5</v>
      </c>
      <c r="P402" s="9" t="n">
        <v>6.41</v>
      </c>
      <c r="Q402" s="5" t="n">
        <v>0.76</v>
      </c>
      <c r="R402" s="5" t="s">
        <v>53</v>
      </c>
      <c r="S402" s="5" t="s">
        <v>116</v>
      </c>
      <c r="T402" s="5" t="n">
        <v>126</v>
      </c>
      <c r="U402" s="5" t="s">
        <v>80</v>
      </c>
      <c r="V402" s="5" t="s">
        <v>1234</v>
      </c>
    </row>
    <row r="403" customFormat="false" ht="15" hidden="false" customHeight="false" outlineLevel="0" collapsed="false">
      <c r="A403" s="5" t="n">
        <v>402</v>
      </c>
      <c r="B403" s="5" t="s">
        <v>1235</v>
      </c>
      <c r="C403" s="6" t="s">
        <v>49</v>
      </c>
      <c r="D403" s="5" t="s">
        <v>89</v>
      </c>
      <c r="E403" s="5" t="s">
        <v>90</v>
      </c>
      <c r="F403" s="5" t="s">
        <v>76</v>
      </c>
      <c r="G403" s="5" t="s">
        <v>101</v>
      </c>
      <c r="H403" s="5" t="s">
        <v>93</v>
      </c>
      <c r="I403" s="5" t="s">
        <v>109</v>
      </c>
      <c r="J403" s="7" t="n">
        <v>2405</v>
      </c>
      <c r="K403" s="8" t="n">
        <v>6710</v>
      </c>
      <c r="L403" s="8" t="n">
        <v>66</v>
      </c>
      <c r="M403" s="8" t="n">
        <v>13555.42</v>
      </c>
      <c r="N403" s="8" t="n">
        <v>376184</v>
      </c>
      <c r="O403" s="5" t="n">
        <v>56.3</v>
      </c>
      <c r="P403" s="9" t="n">
        <v>6.39</v>
      </c>
      <c r="Q403" s="5" t="n">
        <v>0.96</v>
      </c>
      <c r="R403" s="5" t="s">
        <v>95</v>
      </c>
      <c r="S403" s="5" t="s">
        <v>103</v>
      </c>
      <c r="T403" s="5" t="n">
        <v>65</v>
      </c>
      <c r="U403" s="5" t="s">
        <v>80</v>
      </c>
      <c r="V403" s="5" t="s">
        <v>1236</v>
      </c>
    </row>
    <row r="404" customFormat="false" ht="15" hidden="false" customHeight="false" outlineLevel="0" collapsed="false">
      <c r="A404" s="5" t="n">
        <v>403</v>
      </c>
      <c r="B404" s="5" t="s">
        <v>1237</v>
      </c>
      <c r="C404" s="6" t="s">
        <v>49</v>
      </c>
      <c r="D404" s="5" t="s">
        <v>231</v>
      </c>
      <c r="E404" s="5" t="s">
        <v>232</v>
      </c>
      <c r="F404" s="5" t="s">
        <v>76</v>
      </c>
      <c r="G404" s="5" t="s">
        <v>396</v>
      </c>
      <c r="H404" s="5" t="s">
        <v>93</v>
      </c>
      <c r="I404" s="5" t="s">
        <v>94</v>
      </c>
      <c r="J404" s="7" t="n">
        <v>2399</v>
      </c>
      <c r="K404" s="8" t="n">
        <v>1470</v>
      </c>
      <c r="L404" s="8" t="n">
        <v>24</v>
      </c>
      <c r="M404" s="8" t="n">
        <v>26497.5</v>
      </c>
      <c r="N404" s="8" t="n">
        <v>414382</v>
      </c>
      <c r="O404" s="5" t="n">
        <v>30.2</v>
      </c>
      <c r="P404" s="9" t="n">
        <v>5.79</v>
      </c>
      <c r="Q404" s="5" t="n">
        <v>0.74</v>
      </c>
      <c r="R404" s="5" t="s">
        <v>53</v>
      </c>
      <c r="S404" s="5" t="s">
        <v>110</v>
      </c>
      <c r="T404" s="5" t="n">
        <v>34</v>
      </c>
      <c r="U404" s="5" t="s">
        <v>80</v>
      </c>
      <c r="V404" s="5" t="s">
        <v>1238</v>
      </c>
    </row>
    <row r="405" customFormat="false" ht="15" hidden="false" customHeight="false" outlineLevel="0" collapsed="false">
      <c r="A405" s="5" t="n">
        <v>404</v>
      </c>
      <c r="B405" s="5" t="s">
        <v>1239</v>
      </c>
      <c r="C405" s="6" t="s">
        <v>49</v>
      </c>
      <c r="D405" s="5" t="s">
        <v>274</v>
      </c>
      <c r="E405" s="5" t="s">
        <v>275</v>
      </c>
      <c r="F405" s="5" t="s">
        <v>76</v>
      </c>
      <c r="G405" s="5" t="s">
        <v>101</v>
      </c>
      <c r="H405" s="5" t="s">
        <v>131</v>
      </c>
      <c r="I405" s="5" t="s">
        <v>94</v>
      </c>
      <c r="J405" s="7" t="n">
        <v>2395</v>
      </c>
      <c r="K405" s="8" t="n">
        <v>9890</v>
      </c>
      <c r="L405" s="8" t="n">
        <v>52</v>
      </c>
      <c r="M405" s="8" t="n">
        <v>79945.95</v>
      </c>
      <c r="N405" s="8" t="n">
        <v>910951</v>
      </c>
      <c r="O405" s="5" t="n">
        <v>14.2</v>
      </c>
      <c r="P405" s="9" t="n">
        <v>2.63</v>
      </c>
      <c r="Q405" s="5" t="n">
        <v>1.5</v>
      </c>
      <c r="R405" s="5" t="s">
        <v>53</v>
      </c>
      <c r="S405" s="5" t="s">
        <v>184</v>
      </c>
      <c r="T405" s="5" t="n">
        <v>64</v>
      </c>
      <c r="U405" s="5" t="s">
        <v>80</v>
      </c>
      <c r="V405" s="5" t="s">
        <v>1240</v>
      </c>
    </row>
    <row r="406" customFormat="false" ht="15" hidden="false" customHeight="false" outlineLevel="0" collapsed="false">
      <c r="A406" s="5" t="n">
        <v>405</v>
      </c>
      <c r="B406" s="5" t="s">
        <v>1241</v>
      </c>
      <c r="C406" s="6" t="s">
        <v>49</v>
      </c>
      <c r="D406" s="5" t="s">
        <v>274</v>
      </c>
      <c r="E406" s="5" t="s">
        <v>275</v>
      </c>
      <c r="F406" s="5" t="s">
        <v>76</v>
      </c>
      <c r="G406" s="5" t="s">
        <v>682</v>
      </c>
      <c r="H406" s="5" t="s">
        <v>276</v>
      </c>
      <c r="I406" s="5" t="s">
        <v>94</v>
      </c>
      <c r="J406" s="7" t="n">
        <v>2364</v>
      </c>
      <c r="K406" s="8" t="n">
        <v>4940</v>
      </c>
      <c r="L406" s="8" t="n">
        <v>59</v>
      </c>
      <c r="M406" s="8" t="n">
        <v>34044.29</v>
      </c>
      <c r="N406" s="8" t="n">
        <v>840492</v>
      </c>
      <c r="O406" s="5" t="n">
        <v>33.5</v>
      </c>
      <c r="P406" s="9" t="n">
        <v>2.81</v>
      </c>
      <c r="Q406" s="5" t="n">
        <v>0.27</v>
      </c>
      <c r="R406" s="5" t="s">
        <v>53</v>
      </c>
      <c r="S406" s="5" t="s">
        <v>110</v>
      </c>
      <c r="T406" s="5" t="n">
        <v>34</v>
      </c>
      <c r="U406" s="5" t="s">
        <v>80</v>
      </c>
      <c r="V406" s="5" t="s">
        <v>1242</v>
      </c>
    </row>
    <row r="407" customFormat="false" ht="15" hidden="false" customHeight="false" outlineLevel="0" collapsed="false">
      <c r="A407" s="5" t="n">
        <v>406</v>
      </c>
      <c r="B407" s="5" t="s">
        <v>1243</v>
      </c>
      <c r="C407" s="6" t="s">
        <v>49</v>
      </c>
      <c r="D407" s="5" t="s">
        <v>83</v>
      </c>
      <c r="E407" s="5" t="s">
        <v>84</v>
      </c>
      <c r="F407" s="5" t="s">
        <v>76</v>
      </c>
      <c r="G407" s="5"/>
      <c r="H407" s="5" t="s">
        <v>1033</v>
      </c>
      <c r="I407" s="5" t="s">
        <v>159</v>
      </c>
      <c r="J407" s="7" t="n">
        <v>2359</v>
      </c>
      <c r="K407" s="8" t="n">
        <v>30000</v>
      </c>
      <c r="L407" s="8" t="n">
        <v>159</v>
      </c>
      <c r="M407" s="8" t="n">
        <v>52286.55</v>
      </c>
      <c r="N407" s="8" t="n">
        <v>859405</v>
      </c>
      <c r="O407" s="5" t="n">
        <v>46.9</v>
      </c>
      <c r="P407" s="9" t="n">
        <v>2.75</v>
      </c>
      <c r="Q407" s="5" t="n">
        <v>0.84</v>
      </c>
      <c r="R407" s="5" t="s">
        <v>53</v>
      </c>
      <c r="S407" s="5" t="s">
        <v>165</v>
      </c>
      <c r="T407" s="5" t="n">
        <v>95</v>
      </c>
      <c r="U407" s="5" t="s">
        <v>80</v>
      </c>
      <c r="V407" s="5" t="s">
        <v>1244</v>
      </c>
    </row>
    <row r="408" customFormat="false" ht="15" hidden="false" customHeight="false" outlineLevel="0" collapsed="false">
      <c r="A408" s="5" t="n">
        <v>407</v>
      </c>
      <c r="B408" s="5" t="s">
        <v>1245</v>
      </c>
      <c r="C408" s="6" t="s">
        <v>49</v>
      </c>
      <c r="D408" s="5" t="s">
        <v>231</v>
      </c>
      <c r="E408" s="5" t="s">
        <v>232</v>
      </c>
      <c r="F408" s="5" t="s">
        <v>76</v>
      </c>
      <c r="G408" s="5" t="s">
        <v>101</v>
      </c>
      <c r="H408" s="5" t="s">
        <v>1246</v>
      </c>
      <c r="I408" s="5" t="s">
        <v>94</v>
      </c>
      <c r="J408" s="7" t="n">
        <v>2337</v>
      </c>
      <c r="K408" s="8" t="n">
        <v>12200</v>
      </c>
      <c r="L408" s="8" t="n">
        <v>42</v>
      </c>
      <c r="M408" s="8" t="n">
        <v>37257.5</v>
      </c>
      <c r="N408" s="8" t="n">
        <v>943635</v>
      </c>
      <c r="O408" s="5" t="n">
        <v>22.8</v>
      </c>
      <c r="P408" s="9" t="n">
        <v>2.48</v>
      </c>
      <c r="Q408" s="5" t="n">
        <v>1.6</v>
      </c>
      <c r="R408" s="5" t="s">
        <v>53</v>
      </c>
      <c r="S408" s="5" t="s">
        <v>184</v>
      </c>
      <c r="T408" s="5" t="n">
        <v>64</v>
      </c>
      <c r="U408" s="5" t="s">
        <v>80</v>
      </c>
      <c r="V408" s="5" t="s">
        <v>1247</v>
      </c>
    </row>
    <row r="409" customFormat="false" ht="15" hidden="false" customHeight="false" outlineLevel="0" collapsed="false">
      <c r="A409" s="5" t="n">
        <v>408</v>
      </c>
      <c r="B409" s="5" t="s">
        <v>1248</v>
      </c>
      <c r="C409" s="6" t="s">
        <v>49</v>
      </c>
      <c r="D409" s="5" t="s">
        <v>205</v>
      </c>
      <c r="E409" s="5" t="s">
        <v>206</v>
      </c>
      <c r="F409" s="5" t="s">
        <v>76</v>
      </c>
      <c r="G409" s="5" t="s">
        <v>92</v>
      </c>
      <c r="H409" s="5" t="s">
        <v>366</v>
      </c>
      <c r="I409" s="5" t="s">
        <v>109</v>
      </c>
      <c r="J409" s="7" t="n">
        <v>2335</v>
      </c>
      <c r="K409" s="8" t="n">
        <v>4180</v>
      </c>
      <c r="L409" s="8" t="n">
        <v>89</v>
      </c>
      <c r="M409" s="8" t="n">
        <v>7830.22</v>
      </c>
      <c r="N409" s="8" t="n">
        <v>294866</v>
      </c>
      <c r="O409" s="5" t="n">
        <v>49.1</v>
      </c>
      <c r="P409" s="9" t="n">
        <v>7.92</v>
      </c>
      <c r="Q409" s="5" t="n">
        <v>1.15</v>
      </c>
      <c r="R409" s="5" t="s">
        <v>95</v>
      </c>
      <c r="S409" s="5" t="s">
        <v>79</v>
      </c>
      <c r="T409" s="5" t="n">
        <v>96</v>
      </c>
      <c r="U409" s="5" t="s">
        <v>80</v>
      </c>
      <c r="V409" s="5" t="s">
        <v>1249</v>
      </c>
    </row>
    <row r="410" customFormat="false" ht="15" hidden="false" customHeight="false" outlineLevel="0" collapsed="false">
      <c r="A410" s="5" t="n">
        <v>409</v>
      </c>
      <c r="B410" s="5" t="s">
        <v>1250</v>
      </c>
      <c r="C410" s="6" t="s">
        <v>49</v>
      </c>
      <c r="D410" s="5" t="s">
        <v>651</v>
      </c>
      <c r="E410" s="5" t="s">
        <v>652</v>
      </c>
      <c r="F410" s="5" t="s">
        <v>76</v>
      </c>
      <c r="G410" s="5" t="s">
        <v>101</v>
      </c>
      <c r="H410" s="5" t="s">
        <v>653</v>
      </c>
      <c r="I410" s="5" t="s">
        <v>122</v>
      </c>
      <c r="J410" s="7" t="n">
        <v>2334</v>
      </c>
      <c r="K410" s="8" t="n">
        <v>1350</v>
      </c>
      <c r="L410" s="8" t="n">
        <v>137</v>
      </c>
      <c r="M410" s="8" t="n">
        <v>6154.54</v>
      </c>
      <c r="N410" s="8" t="n">
        <v>395224</v>
      </c>
      <c r="O410" s="5" t="n">
        <v>19.5</v>
      </c>
      <c r="P410" s="9" t="n">
        <v>5.9</v>
      </c>
      <c r="Q410" s="5" t="n">
        <v>1.26</v>
      </c>
      <c r="R410" s="5" t="s">
        <v>53</v>
      </c>
      <c r="S410" s="5" t="s">
        <v>184</v>
      </c>
      <c r="T410" s="5" t="n">
        <v>64</v>
      </c>
      <c r="U410" s="5" t="s">
        <v>80</v>
      </c>
      <c r="V410" s="5" t="s">
        <v>1251</v>
      </c>
    </row>
    <row r="411" customFormat="false" ht="15" hidden="false" customHeight="false" outlineLevel="0" collapsed="false">
      <c r="A411" s="5" t="n">
        <v>410</v>
      </c>
      <c r="B411" s="5" t="s">
        <v>1252</v>
      </c>
      <c r="C411" s="6" t="s">
        <v>49</v>
      </c>
      <c r="D411" s="5" t="s">
        <v>554</v>
      </c>
      <c r="E411" s="5" t="s">
        <v>555</v>
      </c>
      <c r="F411" s="5" t="s">
        <v>76</v>
      </c>
      <c r="G411" s="5" t="s">
        <v>370</v>
      </c>
      <c r="H411" s="5" t="s">
        <v>93</v>
      </c>
      <c r="I411" s="5" t="s">
        <v>94</v>
      </c>
      <c r="J411" s="7" t="n">
        <v>2332</v>
      </c>
      <c r="K411" s="8" t="n">
        <v>6740</v>
      </c>
      <c r="L411" s="8" t="n">
        <v>40</v>
      </c>
      <c r="M411" s="8" t="n">
        <v>31362.17</v>
      </c>
      <c r="N411" s="8" t="n">
        <v>452355</v>
      </c>
      <c r="O411" s="5" t="n">
        <v>51.9</v>
      </c>
      <c r="P411" s="9" t="n">
        <v>5.15</v>
      </c>
      <c r="Q411" s="5" t="n">
        <v>1.41</v>
      </c>
      <c r="R411" s="5" t="s">
        <v>53</v>
      </c>
      <c r="S411" s="5" t="s">
        <v>103</v>
      </c>
      <c r="T411" s="5" t="n">
        <v>65</v>
      </c>
      <c r="U411" s="5" t="s">
        <v>80</v>
      </c>
      <c r="V411" s="5" t="s">
        <v>1253</v>
      </c>
    </row>
    <row r="412" customFormat="false" ht="15" hidden="false" customHeight="false" outlineLevel="0" collapsed="false">
      <c r="A412" s="5" t="n">
        <v>411</v>
      </c>
      <c r="B412" s="5" t="s">
        <v>1254</v>
      </c>
      <c r="C412" s="6" t="s">
        <v>49</v>
      </c>
      <c r="D412" s="5" t="s">
        <v>418</v>
      </c>
      <c r="E412" s="5" t="s">
        <v>419</v>
      </c>
      <c r="F412" s="5" t="s">
        <v>76</v>
      </c>
      <c r="G412" s="5" t="s">
        <v>101</v>
      </c>
      <c r="H412" s="5" t="s">
        <v>581</v>
      </c>
      <c r="I412" s="5" t="s">
        <v>109</v>
      </c>
      <c r="J412" s="7" t="n">
        <v>2319</v>
      </c>
      <c r="K412" s="8" t="n">
        <v>7430</v>
      </c>
      <c r="L412" s="8" t="n">
        <v>56</v>
      </c>
      <c r="M412" s="8" t="n">
        <v>23399.14</v>
      </c>
      <c r="N412" s="8" t="n">
        <v>532439</v>
      </c>
      <c r="O412" s="5" t="n">
        <v>50.2</v>
      </c>
      <c r="P412" s="9" t="n">
        <v>4.36</v>
      </c>
      <c r="Q412" s="5" t="n">
        <v>1.79</v>
      </c>
      <c r="R412" s="5" t="s">
        <v>95</v>
      </c>
      <c r="S412" s="5" t="s">
        <v>79</v>
      </c>
      <c r="T412" s="5" t="n">
        <v>96</v>
      </c>
      <c r="U412" s="5" t="s">
        <v>80</v>
      </c>
      <c r="V412" s="5" t="s">
        <v>1255</v>
      </c>
    </row>
    <row r="413" customFormat="false" ht="15" hidden="false" customHeight="false" outlineLevel="0" collapsed="false">
      <c r="A413" s="5" t="n">
        <v>412</v>
      </c>
      <c r="B413" s="5" t="s">
        <v>1256</v>
      </c>
      <c r="C413" s="6" t="s">
        <v>49</v>
      </c>
      <c r="D413" s="5" t="s">
        <v>844</v>
      </c>
      <c r="E413" s="5" t="s">
        <v>845</v>
      </c>
      <c r="F413" s="5" t="s">
        <v>212</v>
      </c>
      <c r="G413" s="5"/>
      <c r="H413" s="5" t="s">
        <v>131</v>
      </c>
      <c r="I413" s="5" t="s">
        <v>296</v>
      </c>
      <c r="J413" s="7" t="n">
        <v>2301</v>
      </c>
      <c r="K413" s="8" t="n">
        <v>16800</v>
      </c>
      <c r="L413" s="8" t="n">
        <v>93</v>
      </c>
      <c r="M413" s="8" t="n">
        <v>41442.52</v>
      </c>
      <c r="N413" s="8" t="n">
        <v>1189998</v>
      </c>
      <c r="O413" s="5" t="n">
        <v>22.1</v>
      </c>
      <c r="P413" s="9" t="n">
        <v>1.93</v>
      </c>
      <c r="Q413" s="5" t="n">
        <v>1.4</v>
      </c>
      <c r="R413" s="5" t="s">
        <v>53</v>
      </c>
      <c r="S413" s="5" t="s">
        <v>165</v>
      </c>
      <c r="T413" s="5" t="n">
        <v>95</v>
      </c>
      <c r="U413" s="5" t="s">
        <v>80</v>
      </c>
      <c r="V413" s="5" t="s">
        <v>1257</v>
      </c>
    </row>
    <row r="414" customFormat="false" ht="15" hidden="false" customHeight="false" outlineLevel="0" collapsed="false">
      <c r="A414" s="5" t="n">
        <v>413</v>
      </c>
      <c r="B414" s="5" t="s">
        <v>1258</v>
      </c>
      <c r="C414" s="6" t="s">
        <v>49</v>
      </c>
      <c r="D414" s="5" t="s">
        <v>792</v>
      </c>
      <c r="E414" s="5" t="s">
        <v>793</v>
      </c>
      <c r="F414" s="5" t="s">
        <v>212</v>
      </c>
      <c r="G414" s="5" t="s">
        <v>370</v>
      </c>
      <c r="H414" s="5" t="s">
        <v>121</v>
      </c>
      <c r="I414" s="5" t="s">
        <v>94</v>
      </c>
      <c r="J414" s="7" t="n">
        <v>2299</v>
      </c>
      <c r="K414" s="8" t="n">
        <v>12800</v>
      </c>
      <c r="L414" s="8" t="n">
        <v>32</v>
      </c>
      <c r="M414" s="8" t="n">
        <v>108153.12</v>
      </c>
      <c r="N414" s="8" t="n">
        <v>1351133</v>
      </c>
      <c r="O414" s="5" t="n">
        <v>95.7</v>
      </c>
      <c r="P414" s="9" t="n">
        <v>1.7</v>
      </c>
      <c r="Q414" s="5" t="n">
        <v>7.1</v>
      </c>
      <c r="R414" s="5" t="s">
        <v>95</v>
      </c>
      <c r="S414" s="5" t="s">
        <v>184</v>
      </c>
      <c r="T414" s="5" t="n">
        <v>64</v>
      </c>
      <c r="U414" s="5" t="s">
        <v>80</v>
      </c>
      <c r="V414" s="5" t="s">
        <v>1259</v>
      </c>
    </row>
    <row r="415" customFormat="false" ht="15" hidden="false" customHeight="false" outlineLevel="0" collapsed="false">
      <c r="A415" s="5" t="n">
        <v>414</v>
      </c>
      <c r="B415" s="5" t="s">
        <v>1260</v>
      </c>
      <c r="C415" s="6" t="s">
        <v>49</v>
      </c>
      <c r="D415" s="5" t="s">
        <v>270</v>
      </c>
      <c r="E415" s="5" t="s">
        <v>271</v>
      </c>
      <c r="F415" s="5" t="s">
        <v>76</v>
      </c>
      <c r="G415" s="5"/>
      <c r="H415" s="5" t="s">
        <v>93</v>
      </c>
      <c r="I415" s="5" t="s">
        <v>94</v>
      </c>
      <c r="J415" s="7" t="n">
        <v>2295</v>
      </c>
      <c r="K415" s="8" t="n">
        <v>26200</v>
      </c>
      <c r="L415" s="8" t="n">
        <v>137</v>
      </c>
      <c r="M415" s="8" t="n">
        <v>18089.58</v>
      </c>
      <c r="N415" s="8" t="n">
        <v>926829</v>
      </c>
      <c r="O415" s="5" t="n">
        <v>21.6</v>
      </c>
      <c r="P415" s="9" t="n">
        <v>2.48</v>
      </c>
      <c r="Q415" s="5" t="n">
        <v>0.95</v>
      </c>
      <c r="R415" s="5" t="s">
        <v>95</v>
      </c>
      <c r="S415" s="5" t="s">
        <v>116</v>
      </c>
      <c r="T415" s="5" t="n">
        <v>126</v>
      </c>
      <c r="U415" s="5" t="s">
        <v>80</v>
      </c>
      <c r="V415" s="5" t="s">
        <v>1261</v>
      </c>
    </row>
    <row r="416" customFormat="false" ht="15" hidden="false" customHeight="false" outlineLevel="0" collapsed="false">
      <c r="A416" s="5" t="n">
        <v>415</v>
      </c>
      <c r="B416" s="5" t="s">
        <v>1262</v>
      </c>
      <c r="C416" s="6" t="s">
        <v>49</v>
      </c>
      <c r="D416" s="5" t="s">
        <v>719</v>
      </c>
      <c r="E416" s="5" t="s">
        <v>720</v>
      </c>
      <c r="F416" s="5" t="s">
        <v>212</v>
      </c>
      <c r="G416" s="5" t="s">
        <v>213</v>
      </c>
      <c r="H416" s="5" t="s">
        <v>93</v>
      </c>
      <c r="I416" s="5" t="s">
        <v>94</v>
      </c>
      <c r="J416" s="7" t="n">
        <v>2266</v>
      </c>
      <c r="K416" s="8" t="n">
        <v>5050</v>
      </c>
      <c r="L416" s="8" t="n">
        <v>25</v>
      </c>
      <c r="M416" s="8" t="n">
        <v>68574.64</v>
      </c>
      <c r="N416" s="8" t="n">
        <v>1153787</v>
      </c>
      <c r="O416" s="5" t="n">
        <v>23</v>
      </c>
      <c r="P416" s="9" t="n">
        <v>1.96</v>
      </c>
      <c r="Q416" s="5" t="n">
        <v>1.76</v>
      </c>
      <c r="R416" s="5" t="s">
        <v>95</v>
      </c>
      <c r="S416" s="5" t="s">
        <v>96</v>
      </c>
      <c r="T416" s="5" t="n">
        <v>33</v>
      </c>
      <c r="U416" s="5" t="s">
        <v>80</v>
      </c>
      <c r="V416" s="5" t="s">
        <v>1263</v>
      </c>
    </row>
    <row r="417" customFormat="false" ht="15" hidden="false" customHeight="false" outlineLevel="0" collapsed="false">
      <c r="A417" s="5" t="n">
        <v>416</v>
      </c>
      <c r="B417" s="5" t="s">
        <v>1264</v>
      </c>
      <c r="C417" s="6" t="s">
        <v>49</v>
      </c>
      <c r="D417" s="5" t="s">
        <v>106</v>
      </c>
      <c r="E417" s="5" t="s">
        <v>107</v>
      </c>
      <c r="F417" s="5" t="s">
        <v>76</v>
      </c>
      <c r="G417" s="5" t="s">
        <v>101</v>
      </c>
      <c r="H417" s="5" t="s">
        <v>108</v>
      </c>
      <c r="I417" s="5" t="s">
        <v>109</v>
      </c>
      <c r="J417" s="7" t="n">
        <v>2255</v>
      </c>
      <c r="K417" s="8" t="n">
        <v>2130</v>
      </c>
      <c r="L417" s="8" t="n">
        <v>93</v>
      </c>
      <c r="M417" s="8" t="n">
        <v>11721.03</v>
      </c>
      <c r="N417" s="8" t="n">
        <v>739245</v>
      </c>
      <c r="O417" s="5" t="n">
        <v>6.8</v>
      </c>
      <c r="P417" s="9" t="n">
        <v>3.05</v>
      </c>
      <c r="Q417" s="5" t="n">
        <v>0.29</v>
      </c>
      <c r="R417" s="5" t="s">
        <v>95</v>
      </c>
      <c r="S417" s="5" t="s">
        <v>184</v>
      </c>
      <c r="T417" s="5" t="n">
        <v>64</v>
      </c>
      <c r="U417" s="5" t="s">
        <v>80</v>
      </c>
      <c r="V417" s="5" t="s">
        <v>1265</v>
      </c>
    </row>
    <row r="418" customFormat="false" ht="15" hidden="false" customHeight="false" outlineLevel="0" collapsed="false">
      <c r="A418" s="5" t="n">
        <v>417</v>
      </c>
      <c r="B418" s="5" t="s">
        <v>1266</v>
      </c>
      <c r="C418" s="6" t="s">
        <v>49</v>
      </c>
      <c r="D418" s="5" t="s">
        <v>633</v>
      </c>
      <c r="E418" s="5" t="s">
        <v>634</v>
      </c>
      <c r="F418" s="5" t="s">
        <v>76</v>
      </c>
      <c r="G418" s="5" t="s">
        <v>101</v>
      </c>
      <c r="H418" s="5" t="s">
        <v>581</v>
      </c>
      <c r="I418" s="5" t="s">
        <v>94</v>
      </c>
      <c r="J418" s="7" t="n">
        <v>2240</v>
      </c>
      <c r="K418" s="8" t="n">
        <v>9180</v>
      </c>
      <c r="L418" s="8" t="n">
        <v>177</v>
      </c>
      <c r="M418" s="8" t="n">
        <v>10198.23</v>
      </c>
      <c r="N418" s="8" t="n">
        <v>1046207</v>
      </c>
      <c r="O418" s="5" t="n">
        <v>33</v>
      </c>
      <c r="P418" s="9" t="n">
        <v>2.14</v>
      </c>
      <c r="Q418" s="5" t="n">
        <v>0.79</v>
      </c>
      <c r="R418" s="5" t="s">
        <v>95</v>
      </c>
      <c r="S418" s="5" t="s">
        <v>116</v>
      </c>
      <c r="T418" s="5" t="n">
        <v>126</v>
      </c>
      <c r="U418" s="5" t="s">
        <v>80</v>
      </c>
      <c r="V418" s="5" t="s">
        <v>1267</v>
      </c>
    </row>
    <row r="419" customFormat="false" ht="15" hidden="false" customHeight="false" outlineLevel="0" collapsed="false">
      <c r="A419" s="5" t="n">
        <v>418</v>
      </c>
      <c r="B419" s="5" t="s">
        <v>1268</v>
      </c>
      <c r="C419" s="6" t="s">
        <v>49</v>
      </c>
      <c r="D419" s="5" t="s">
        <v>566</v>
      </c>
      <c r="E419" s="5" t="s">
        <v>567</v>
      </c>
      <c r="F419" s="5" t="s">
        <v>76</v>
      </c>
      <c r="G419" s="5" t="s">
        <v>101</v>
      </c>
      <c r="H419" s="5" t="s">
        <v>637</v>
      </c>
      <c r="I419" s="5" t="s">
        <v>290</v>
      </c>
      <c r="J419" s="7" t="n">
        <v>2221</v>
      </c>
      <c r="K419" s="8" t="n">
        <v>11700</v>
      </c>
      <c r="L419" s="8" t="n">
        <v>130</v>
      </c>
      <c r="M419" s="8" t="n">
        <v>65278.88</v>
      </c>
      <c r="N419" s="8" t="n">
        <v>1750142</v>
      </c>
      <c r="O419" s="5" t="n">
        <v>6.3</v>
      </c>
      <c r="P419" s="9" t="n">
        <v>1.27</v>
      </c>
      <c r="Q419" s="5" t="n">
        <v>0.83</v>
      </c>
      <c r="R419" s="5" t="s">
        <v>53</v>
      </c>
      <c r="S419" s="5" t="s">
        <v>116</v>
      </c>
      <c r="T419" s="5" t="n">
        <v>126</v>
      </c>
      <c r="U419" s="5" t="s">
        <v>80</v>
      </c>
      <c r="V419" s="5" t="s">
        <v>1269</v>
      </c>
    </row>
    <row r="420" customFormat="false" ht="15" hidden="false" customHeight="false" outlineLevel="0" collapsed="false">
      <c r="A420" s="5" t="n">
        <v>419</v>
      </c>
      <c r="B420" s="5" t="s">
        <v>1270</v>
      </c>
      <c r="C420" s="6" t="s">
        <v>49</v>
      </c>
      <c r="D420" s="5" t="s">
        <v>307</v>
      </c>
      <c r="E420" s="5" t="s">
        <v>308</v>
      </c>
      <c r="F420" s="5" t="s">
        <v>91</v>
      </c>
      <c r="G420" s="5" t="s">
        <v>101</v>
      </c>
      <c r="H420" s="5" t="s">
        <v>310</v>
      </c>
      <c r="I420" s="5" t="s">
        <v>296</v>
      </c>
      <c r="J420" s="7" t="n">
        <v>2219</v>
      </c>
      <c r="K420" s="8" t="n">
        <v>5880</v>
      </c>
      <c r="L420" s="8" t="n">
        <v>75</v>
      </c>
      <c r="M420" s="8" t="n">
        <v>17034.67</v>
      </c>
      <c r="N420" s="8" t="n">
        <v>455337</v>
      </c>
      <c r="O420" s="5" t="n">
        <v>42.1</v>
      </c>
      <c r="P420" s="9" t="n">
        <v>4.87</v>
      </c>
      <c r="Q420" s="5" t="n">
        <v>2.79</v>
      </c>
      <c r="R420" s="5" t="s">
        <v>53</v>
      </c>
      <c r="S420" s="5" t="s">
        <v>184</v>
      </c>
      <c r="T420" s="5" t="n">
        <v>64</v>
      </c>
      <c r="U420" s="5" t="s">
        <v>80</v>
      </c>
      <c r="V420" s="5" t="s">
        <v>1271</v>
      </c>
    </row>
    <row r="421" customFormat="false" ht="15" hidden="false" customHeight="false" outlineLevel="0" collapsed="false">
      <c r="A421" s="5" t="n">
        <v>420</v>
      </c>
      <c r="B421" s="5" t="s">
        <v>1272</v>
      </c>
      <c r="C421" s="6" t="s">
        <v>49</v>
      </c>
      <c r="D421" s="5" t="s">
        <v>1273</v>
      </c>
      <c r="E421" s="5" t="s">
        <v>1274</v>
      </c>
      <c r="F421" s="5" t="s">
        <v>76</v>
      </c>
      <c r="G421" s="5" t="s">
        <v>101</v>
      </c>
      <c r="H421" s="5" t="s">
        <v>121</v>
      </c>
      <c r="I421" s="5" t="s">
        <v>94</v>
      </c>
      <c r="J421" s="7" t="n">
        <v>2196</v>
      </c>
      <c r="K421" s="8" t="n">
        <v>2810</v>
      </c>
      <c r="L421" s="8" t="n">
        <v>45</v>
      </c>
      <c r="M421" s="8" t="n">
        <v>14214.24</v>
      </c>
      <c r="N421" s="8" t="n">
        <v>400446</v>
      </c>
      <c r="O421" s="5" t="n">
        <v>22.2</v>
      </c>
      <c r="P421" s="9" t="n">
        <v>5.48</v>
      </c>
      <c r="Q421" s="5" t="n">
        <v>0.1</v>
      </c>
      <c r="R421" s="5" t="s">
        <v>95</v>
      </c>
      <c r="S421" s="5" t="s">
        <v>96</v>
      </c>
      <c r="T421" s="5" t="n">
        <v>33</v>
      </c>
      <c r="U421" s="5" t="s">
        <v>80</v>
      </c>
      <c r="V421" s="5" t="s">
        <v>1275</v>
      </c>
    </row>
    <row r="422" customFormat="false" ht="15" hidden="false" customHeight="false" outlineLevel="0" collapsed="false">
      <c r="A422" s="5" t="n">
        <v>421</v>
      </c>
      <c r="B422" s="5" t="s">
        <v>1276</v>
      </c>
      <c r="C422" s="6" t="s">
        <v>49</v>
      </c>
      <c r="D422" s="5" t="s">
        <v>106</v>
      </c>
      <c r="E422" s="5" t="s">
        <v>107</v>
      </c>
      <c r="F422" s="5" t="s">
        <v>76</v>
      </c>
      <c r="G422" s="5" t="s">
        <v>101</v>
      </c>
      <c r="H422" s="5" t="s">
        <v>108</v>
      </c>
      <c r="I422" s="5" t="s">
        <v>290</v>
      </c>
      <c r="J422" s="7" t="n">
        <v>2191</v>
      </c>
      <c r="K422" s="8" t="n">
        <v>18800</v>
      </c>
      <c r="L422" s="8" t="n">
        <v>148</v>
      </c>
      <c r="M422" s="8" t="n">
        <v>11876.48</v>
      </c>
      <c r="N422" s="8" t="n">
        <v>404009</v>
      </c>
      <c r="O422" s="5" t="n">
        <v>20.4</v>
      </c>
      <c r="P422" s="9" t="n">
        <v>5.42</v>
      </c>
      <c r="Q422" s="5" t="n">
        <v>0.68</v>
      </c>
      <c r="R422" s="5" t="s">
        <v>95</v>
      </c>
      <c r="S422" s="5" t="s">
        <v>116</v>
      </c>
      <c r="T422" s="5" t="n">
        <v>126</v>
      </c>
      <c r="U422" s="5" t="s">
        <v>80</v>
      </c>
      <c r="V422" s="5" t="s">
        <v>1277</v>
      </c>
    </row>
    <row r="423" customFormat="false" ht="15" hidden="false" customHeight="false" outlineLevel="0" collapsed="false">
      <c r="A423" s="5" t="n">
        <v>422</v>
      </c>
      <c r="B423" s="5" t="s">
        <v>1278</v>
      </c>
      <c r="C423" s="6" t="s">
        <v>49</v>
      </c>
      <c r="D423" s="5" t="s">
        <v>196</v>
      </c>
      <c r="E423" s="5" t="s">
        <v>197</v>
      </c>
      <c r="F423" s="5" t="s">
        <v>76</v>
      </c>
      <c r="G423" s="5" t="s">
        <v>101</v>
      </c>
      <c r="H423" s="5" t="s">
        <v>412</v>
      </c>
      <c r="I423" s="5" t="s">
        <v>296</v>
      </c>
      <c r="J423" s="7" t="n">
        <v>2169</v>
      </c>
      <c r="K423" s="8" t="n">
        <v>3700</v>
      </c>
      <c r="L423" s="8" t="n">
        <v>70</v>
      </c>
      <c r="M423" s="8" t="n">
        <v>7866.51</v>
      </c>
      <c r="N423" s="8" t="n">
        <v>346623</v>
      </c>
      <c r="O423" s="5" t="n">
        <v>32.9</v>
      </c>
      <c r="P423" s="9" t="n">
        <v>6.26</v>
      </c>
      <c r="Q423" s="5" t="n">
        <v>0.08</v>
      </c>
      <c r="R423" s="5" t="s">
        <v>95</v>
      </c>
      <c r="S423" s="5" t="s">
        <v>375</v>
      </c>
      <c r="T423" s="5" t="n">
        <v>125</v>
      </c>
      <c r="U423" s="5" t="s">
        <v>80</v>
      </c>
      <c r="V423" s="5" t="s">
        <v>1279</v>
      </c>
    </row>
    <row r="424" customFormat="false" ht="15" hidden="false" customHeight="false" outlineLevel="0" collapsed="false">
      <c r="A424" s="5" t="n">
        <v>423</v>
      </c>
      <c r="B424" s="5" t="s">
        <v>1280</v>
      </c>
      <c r="C424" s="6" t="s">
        <v>49</v>
      </c>
      <c r="D424" s="5" t="s">
        <v>50</v>
      </c>
      <c r="E424" s="5" t="s">
        <v>51</v>
      </c>
      <c r="F424" s="5" t="s">
        <v>76</v>
      </c>
      <c r="G424" s="5" t="s">
        <v>101</v>
      </c>
      <c r="H424" s="5" t="s">
        <v>820</v>
      </c>
      <c r="I424" s="5" t="s">
        <v>159</v>
      </c>
      <c r="J424" s="7" t="n">
        <v>2168</v>
      </c>
      <c r="K424" s="8" t="n">
        <v>81400</v>
      </c>
      <c r="L424" s="8" t="n">
        <v>77</v>
      </c>
      <c r="M424" s="8" t="n">
        <v>173610.39</v>
      </c>
      <c r="N424" s="8" t="n">
        <v>1377381</v>
      </c>
      <c r="O424" s="5" t="n">
        <v>20.9</v>
      </c>
      <c r="P424" s="9" t="n">
        <v>1.57</v>
      </c>
      <c r="Q424" s="5" t="n">
        <v>5.29</v>
      </c>
      <c r="R424" s="5" t="s">
        <v>53</v>
      </c>
      <c r="S424" s="5" t="s">
        <v>730</v>
      </c>
      <c r="T424" s="5" t="n">
        <v>124</v>
      </c>
      <c r="U424" s="5" t="s">
        <v>80</v>
      </c>
      <c r="V424" s="5" t="s">
        <v>1281</v>
      </c>
    </row>
    <row r="425" customFormat="false" ht="15" hidden="false" customHeight="false" outlineLevel="0" collapsed="false">
      <c r="A425" s="5" t="n">
        <v>424</v>
      </c>
      <c r="B425" s="5" t="s">
        <v>1282</v>
      </c>
      <c r="C425" s="6" t="s">
        <v>49</v>
      </c>
      <c r="D425" s="5" t="s">
        <v>1283</v>
      </c>
      <c r="E425" s="5" t="s">
        <v>1284</v>
      </c>
      <c r="F425" s="5" t="s">
        <v>76</v>
      </c>
      <c r="G425" s="5" t="s">
        <v>101</v>
      </c>
      <c r="H425" s="5" t="s">
        <v>265</v>
      </c>
      <c r="I425" s="5" t="s">
        <v>122</v>
      </c>
      <c r="J425" s="7" t="n">
        <v>2158</v>
      </c>
      <c r="K425" s="8" t="n">
        <v>2240</v>
      </c>
      <c r="L425" s="8" t="n">
        <v>79</v>
      </c>
      <c r="M425" s="8" t="n">
        <v>5076.75</v>
      </c>
      <c r="N425" s="8" t="n">
        <v>237766</v>
      </c>
      <c r="O425" s="5" t="n">
        <v>59.9</v>
      </c>
      <c r="P425" s="9" t="n">
        <v>9.08</v>
      </c>
      <c r="Q425" s="5" t="n">
        <v>1.43</v>
      </c>
      <c r="R425" s="5" t="s">
        <v>95</v>
      </c>
      <c r="S425" s="5" t="s">
        <v>1285</v>
      </c>
      <c r="T425" s="5" t="n">
        <v>61</v>
      </c>
      <c r="U425" s="5" t="s">
        <v>80</v>
      </c>
      <c r="V425" s="5" t="s">
        <v>1286</v>
      </c>
    </row>
    <row r="426" customFormat="false" ht="15" hidden="false" customHeight="false" outlineLevel="0" collapsed="false">
      <c r="A426" s="5" t="n">
        <v>425</v>
      </c>
      <c r="B426" s="5" t="s">
        <v>1287</v>
      </c>
      <c r="C426" s="6" t="s">
        <v>49</v>
      </c>
      <c r="D426" s="5" t="s">
        <v>170</v>
      </c>
      <c r="E426" s="5" t="s">
        <v>171</v>
      </c>
      <c r="F426" s="5" t="s">
        <v>91</v>
      </c>
      <c r="G426" s="5" t="s">
        <v>92</v>
      </c>
      <c r="H426" s="5" t="s">
        <v>115</v>
      </c>
      <c r="I426" s="5" t="s">
        <v>94</v>
      </c>
      <c r="J426" s="7" t="n">
        <v>2144</v>
      </c>
      <c r="K426" s="8" t="n">
        <v>6340</v>
      </c>
      <c r="L426" s="8" t="n">
        <v>12</v>
      </c>
      <c r="M426" s="8" t="n">
        <v>65785.5</v>
      </c>
      <c r="N426" s="8" t="n">
        <v>327306</v>
      </c>
      <c r="O426" s="5" t="n">
        <v>94.7</v>
      </c>
      <c r="P426" s="9" t="n">
        <v>6.55</v>
      </c>
      <c r="Q426" s="5" t="n">
        <v>8.38</v>
      </c>
      <c r="R426" s="5" t="s">
        <v>53</v>
      </c>
      <c r="S426" s="5" t="s">
        <v>165</v>
      </c>
      <c r="T426" s="5" t="n">
        <v>95</v>
      </c>
      <c r="U426" s="5" t="s">
        <v>80</v>
      </c>
      <c r="V426" s="5" t="s">
        <v>1288</v>
      </c>
    </row>
    <row r="427" customFormat="false" ht="15" hidden="false" customHeight="false" outlineLevel="0" collapsed="false">
      <c r="A427" s="5" t="n">
        <v>426</v>
      </c>
      <c r="B427" s="5" t="s">
        <v>1289</v>
      </c>
      <c r="C427" s="6" t="s">
        <v>49</v>
      </c>
      <c r="D427" s="5" t="s">
        <v>510</v>
      </c>
      <c r="E427" s="5" t="s">
        <v>511</v>
      </c>
      <c r="F427" s="5" t="s">
        <v>76</v>
      </c>
      <c r="G427" s="5" t="s">
        <v>101</v>
      </c>
      <c r="H427" s="5" t="s">
        <v>905</v>
      </c>
      <c r="I427" s="5" t="s">
        <v>94</v>
      </c>
      <c r="J427" s="7" t="n">
        <v>2131</v>
      </c>
      <c r="K427" s="8" t="n">
        <v>3370</v>
      </c>
      <c r="L427" s="8" t="n">
        <v>51</v>
      </c>
      <c r="M427" s="8" t="n">
        <v>11578.67</v>
      </c>
      <c r="N427" s="8" t="n">
        <v>362027</v>
      </c>
      <c r="O427" s="5" t="n">
        <v>20.4</v>
      </c>
      <c r="P427" s="9" t="n">
        <v>5.89</v>
      </c>
      <c r="Q427" s="5" t="n">
        <v>0.41</v>
      </c>
      <c r="R427" s="5" t="s">
        <v>95</v>
      </c>
      <c r="S427" s="5" t="s">
        <v>184</v>
      </c>
      <c r="T427" s="5" t="n">
        <v>64</v>
      </c>
      <c r="U427" s="5" t="s">
        <v>80</v>
      </c>
      <c r="V427" s="5" t="s">
        <v>1290</v>
      </c>
    </row>
    <row r="428" customFormat="false" ht="15" hidden="false" customHeight="false" outlineLevel="0" collapsed="false">
      <c r="A428" s="5" t="n">
        <v>427</v>
      </c>
      <c r="B428" s="5" t="s">
        <v>1291</v>
      </c>
      <c r="C428" s="6" t="s">
        <v>49</v>
      </c>
      <c r="D428" s="5" t="s">
        <v>399</v>
      </c>
      <c r="E428" s="5" t="s">
        <v>400</v>
      </c>
      <c r="F428" s="5"/>
      <c r="G428" s="5"/>
      <c r="H428" s="5" t="s">
        <v>1292</v>
      </c>
      <c r="I428" s="5"/>
      <c r="J428" s="7" t="n">
        <v>2125</v>
      </c>
      <c r="K428" s="8" t="n">
        <v>30300</v>
      </c>
      <c r="L428" s="8" t="n">
        <v>277</v>
      </c>
      <c r="M428" s="8" t="n">
        <v>15840</v>
      </c>
      <c r="N428" s="8" t="n">
        <v>1098959</v>
      </c>
      <c r="O428" s="5" t="n">
        <v>164.8</v>
      </c>
      <c r="P428" s="9" t="n">
        <v>1.93</v>
      </c>
      <c r="Q428" s="5" t="n">
        <v>0.75</v>
      </c>
      <c r="R428" s="5" t="s">
        <v>95</v>
      </c>
      <c r="S428" s="5" t="s">
        <v>71</v>
      </c>
      <c r="T428" s="5" t="n">
        <v>153</v>
      </c>
      <c r="U428" s="5" t="s">
        <v>55</v>
      </c>
      <c r="V428" s="5" t="s">
        <v>1293</v>
      </c>
    </row>
    <row r="429" customFormat="false" ht="15" hidden="false" customHeight="false" outlineLevel="0" collapsed="false">
      <c r="A429" s="5" t="n">
        <v>428</v>
      </c>
      <c r="B429" s="5" t="s">
        <v>1294</v>
      </c>
      <c r="C429" s="6" t="s">
        <v>49</v>
      </c>
      <c r="D429" s="5" t="s">
        <v>125</v>
      </c>
      <c r="E429" s="5" t="s">
        <v>126</v>
      </c>
      <c r="F429" s="5" t="s">
        <v>156</v>
      </c>
      <c r="G429" s="5"/>
      <c r="H429" s="5" t="s">
        <v>677</v>
      </c>
      <c r="I429" s="5" t="s">
        <v>94</v>
      </c>
      <c r="J429" s="7" t="n">
        <v>2109</v>
      </c>
      <c r="K429" s="8" t="n">
        <v>6630</v>
      </c>
      <c r="L429" s="8" t="n">
        <v>113</v>
      </c>
      <c r="M429" s="8" t="n">
        <v>17673.04</v>
      </c>
      <c r="N429" s="8" t="n">
        <v>694255</v>
      </c>
      <c r="O429" s="5" t="n">
        <v>23.8</v>
      </c>
      <c r="P429" s="9" t="n">
        <v>3.04</v>
      </c>
      <c r="Q429" s="5" t="n">
        <v>2</v>
      </c>
      <c r="R429" s="5" t="s">
        <v>53</v>
      </c>
      <c r="S429" s="5" t="s">
        <v>165</v>
      </c>
      <c r="T429" s="5" t="n">
        <v>95</v>
      </c>
      <c r="U429" s="5" t="s">
        <v>80</v>
      </c>
      <c r="V429" s="5" t="s">
        <v>1295</v>
      </c>
    </row>
    <row r="430" customFormat="false" ht="15" hidden="false" customHeight="false" outlineLevel="0" collapsed="false">
      <c r="A430" s="5" t="n">
        <v>429</v>
      </c>
      <c r="B430" s="5" t="s">
        <v>1296</v>
      </c>
      <c r="C430" s="6" t="s">
        <v>49</v>
      </c>
      <c r="D430" s="5" t="s">
        <v>385</v>
      </c>
      <c r="E430" s="5" t="s">
        <v>386</v>
      </c>
      <c r="F430" s="5" t="s">
        <v>76</v>
      </c>
      <c r="G430" s="5" t="s">
        <v>101</v>
      </c>
      <c r="H430" s="5" t="s">
        <v>621</v>
      </c>
      <c r="I430" s="5" t="s">
        <v>94</v>
      </c>
      <c r="J430" s="7" t="n">
        <v>2098</v>
      </c>
      <c r="K430" s="8" t="n">
        <v>6060</v>
      </c>
      <c r="L430" s="8" t="n">
        <v>61</v>
      </c>
      <c r="M430" s="8" t="n">
        <v>26418.61</v>
      </c>
      <c r="N430" s="8" t="n">
        <v>520207</v>
      </c>
      <c r="O430" s="5" t="n">
        <v>29.3</v>
      </c>
      <c r="P430" s="9" t="n">
        <v>4.03</v>
      </c>
      <c r="Q430" s="5" t="n">
        <v>1.56</v>
      </c>
      <c r="R430" s="5" t="s">
        <v>53</v>
      </c>
      <c r="S430" s="5" t="s">
        <v>116</v>
      </c>
      <c r="T430" s="5" t="n">
        <v>126</v>
      </c>
      <c r="U430" s="5" t="s">
        <v>80</v>
      </c>
      <c r="V430" s="5" t="s">
        <v>1297</v>
      </c>
    </row>
    <row r="431" customFormat="false" ht="15" hidden="false" customHeight="false" outlineLevel="0" collapsed="false">
      <c r="A431" s="5" t="n">
        <v>430</v>
      </c>
      <c r="B431" s="5" t="s">
        <v>1298</v>
      </c>
      <c r="C431" s="6" t="s">
        <v>49</v>
      </c>
      <c r="D431" s="5" t="s">
        <v>1299</v>
      </c>
      <c r="E431" s="5" t="s">
        <v>1300</v>
      </c>
      <c r="F431" s="5" t="s">
        <v>76</v>
      </c>
      <c r="G431" s="5" t="s">
        <v>346</v>
      </c>
      <c r="H431" s="5" t="s">
        <v>484</v>
      </c>
      <c r="I431" s="5" t="s">
        <v>78</v>
      </c>
      <c r="J431" s="7" t="n">
        <v>2096</v>
      </c>
      <c r="K431" s="8" t="n">
        <v>6130</v>
      </c>
      <c r="L431" s="8" t="n">
        <v>154</v>
      </c>
      <c r="M431" s="8" t="n">
        <v>14648.4</v>
      </c>
      <c r="N431" s="8" t="n">
        <v>561369</v>
      </c>
      <c r="O431" s="5" t="n">
        <v>17.9</v>
      </c>
      <c r="P431" s="9" t="n">
        <v>3.73</v>
      </c>
      <c r="Q431" s="5" t="n">
        <v>2.71</v>
      </c>
      <c r="R431" s="5" t="s">
        <v>53</v>
      </c>
      <c r="S431" s="5" t="s">
        <v>79</v>
      </c>
      <c r="T431" s="5" t="n">
        <v>96</v>
      </c>
      <c r="U431" s="5" t="s">
        <v>80</v>
      </c>
      <c r="V431" s="5" t="s">
        <v>1301</v>
      </c>
    </row>
    <row r="432" customFormat="false" ht="15" hidden="false" customHeight="false" outlineLevel="0" collapsed="false">
      <c r="A432" s="5" t="n">
        <v>431</v>
      </c>
      <c r="B432" s="5" t="s">
        <v>1302</v>
      </c>
      <c r="C432" s="6" t="s">
        <v>49</v>
      </c>
      <c r="D432" s="5" t="s">
        <v>792</v>
      </c>
      <c r="E432" s="5" t="s">
        <v>793</v>
      </c>
      <c r="F432" s="5" t="s">
        <v>76</v>
      </c>
      <c r="G432" s="5" t="s">
        <v>101</v>
      </c>
      <c r="H432" s="5" t="s">
        <v>121</v>
      </c>
      <c r="I432" s="5" t="s">
        <v>109</v>
      </c>
      <c r="J432" s="7" t="n">
        <v>2093</v>
      </c>
      <c r="K432" s="8" t="n">
        <v>26800</v>
      </c>
      <c r="L432" s="8" t="n">
        <v>40</v>
      </c>
      <c r="M432" s="8" t="n">
        <v>40217.5</v>
      </c>
      <c r="N432" s="8" t="n">
        <v>525374</v>
      </c>
      <c r="O432" s="5" t="n">
        <v>36.1</v>
      </c>
      <c r="P432" s="9" t="n">
        <v>3.98</v>
      </c>
      <c r="Q432" s="5" t="n">
        <v>1.05</v>
      </c>
      <c r="R432" s="5" t="s">
        <v>95</v>
      </c>
      <c r="S432" s="5" t="s">
        <v>79</v>
      </c>
      <c r="T432" s="5" t="n">
        <v>96</v>
      </c>
      <c r="U432" s="5" t="s">
        <v>80</v>
      </c>
      <c r="V432" s="5" t="s">
        <v>1303</v>
      </c>
    </row>
    <row r="433" customFormat="false" ht="15" hidden="false" customHeight="false" outlineLevel="0" collapsed="false">
      <c r="A433" s="5" t="n">
        <v>432</v>
      </c>
      <c r="B433" s="5" t="s">
        <v>1304</v>
      </c>
      <c r="C433" s="6" t="s">
        <v>49</v>
      </c>
      <c r="D433" s="5" t="s">
        <v>1283</v>
      </c>
      <c r="E433" s="5" t="s">
        <v>1284</v>
      </c>
      <c r="F433" s="5" t="s">
        <v>76</v>
      </c>
      <c r="G433" s="5" t="s">
        <v>101</v>
      </c>
      <c r="H433" s="5" t="s">
        <v>183</v>
      </c>
      <c r="I433" s="5" t="s">
        <v>122</v>
      </c>
      <c r="J433" s="7" t="n">
        <v>2089</v>
      </c>
      <c r="K433" s="8" t="n">
        <v>977</v>
      </c>
      <c r="L433" s="8" t="n">
        <v>37</v>
      </c>
      <c r="M433" s="8" t="n">
        <v>9402.03</v>
      </c>
      <c r="N433" s="8" t="n">
        <v>217014</v>
      </c>
      <c r="O433" s="5" t="n">
        <v>33.3</v>
      </c>
      <c r="P433" s="9" t="n">
        <v>9.63</v>
      </c>
      <c r="Q433" s="5" t="n">
        <v>0</v>
      </c>
      <c r="R433" s="5" t="s">
        <v>95</v>
      </c>
      <c r="S433" s="5" t="s">
        <v>184</v>
      </c>
      <c r="T433" s="5" t="n">
        <v>64</v>
      </c>
      <c r="U433" s="5" t="s">
        <v>80</v>
      </c>
      <c r="V433" s="5" t="s">
        <v>1305</v>
      </c>
    </row>
    <row r="434" customFormat="false" ht="15" hidden="false" customHeight="false" outlineLevel="0" collapsed="false">
      <c r="A434" s="5" t="n">
        <v>433</v>
      </c>
      <c r="B434" s="5" t="s">
        <v>1306</v>
      </c>
      <c r="C434" s="6" t="s">
        <v>49</v>
      </c>
      <c r="D434" s="5" t="s">
        <v>227</v>
      </c>
      <c r="E434" s="5" t="s">
        <v>228</v>
      </c>
      <c r="F434" s="5" t="s">
        <v>76</v>
      </c>
      <c r="G434" s="5" t="s">
        <v>101</v>
      </c>
      <c r="H434" s="5" t="s">
        <v>93</v>
      </c>
      <c r="I434" s="5" t="s">
        <v>94</v>
      </c>
      <c r="J434" s="7" t="n">
        <v>2065</v>
      </c>
      <c r="K434" s="8" t="n">
        <v>6940</v>
      </c>
      <c r="L434" s="8" t="n">
        <v>203</v>
      </c>
      <c r="M434" s="8" t="n">
        <v>6146.38</v>
      </c>
      <c r="N434" s="8" t="n">
        <v>447754</v>
      </c>
      <c r="O434" s="5" t="n">
        <v>165</v>
      </c>
      <c r="P434" s="9" t="n">
        <v>4.61</v>
      </c>
      <c r="Q434" s="5" t="n">
        <v>0.93</v>
      </c>
      <c r="R434" s="5" t="s">
        <v>95</v>
      </c>
      <c r="S434" s="5" t="s">
        <v>116</v>
      </c>
      <c r="T434" s="5" t="n">
        <v>126</v>
      </c>
      <c r="U434" s="5" t="s">
        <v>80</v>
      </c>
      <c r="V434" s="5" t="s">
        <v>1307</v>
      </c>
    </row>
    <row r="435" customFormat="false" ht="15" hidden="false" customHeight="false" outlineLevel="0" collapsed="false">
      <c r="A435" s="5" t="n">
        <v>434</v>
      </c>
      <c r="B435" s="5" t="s">
        <v>1308</v>
      </c>
      <c r="C435" s="6" t="s">
        <v>49</v>
      </c>
      <c r="D435" s="5" t="s">
        <v>231</v>
      </c>
      <c r="E435" s="5" t="s">
        <v>232</v>
      </c>
      <c r="F435" s="5" t="s">
        <v>91</v>
      </c>
      <c r="G435" s="5" t="s">
        <v>931</v>
      </c>
      <c r="H435" s="5" t="s">
        <v>220</v>
      </c>
      <c r="I435" s="5" t="s">
        <v>94</v>
      </c>
      <c r="J435" s="7" t="n">
        <v>2060</v>
      </c>
      <c r="K435" s="8" t="n">
        <v>4820</v>
      </c>
      <c r="L435" s="8" t="n">
        <v>16</v>
      </c>
      <c r="M435" s="8" t="n">
        <v>50900</v>
      </c>
      <c r="N435" s="8" t="n">
        <v>455110</v>
      </c>
      <c r="O435" s="5" t="n">
        <v>23</v>
      </c>
      <c r="P435" s="9" t="n">
        <v>4.53</v>
      </c>
      <c r="Q435" s="5" t="n">
        <v>8.24</v>
      </c>
      <c r="R435" s="5" t="s">
        <v>95</v>
      </c>
      <c r="S435" s="5" t="s">
        <v>184</v>
      </c>
      <c r="T435" s="5" t="n">
        <v>64</v>
      </c>
      <c r="U435" s="5" t="s">
        <v>80</v>
      </c>
      <c r="V435" s="5" t="s">
        <v>1309</v>
      </c>
    </row>
    <row r="436" customFormat="false" ht="15" hidden="false" customHeight="false" outlineLevel="0" collapsed="false">
      <c r="A436" s="5" t="n">
        <v>435</v>
      </c>
      <c r="B436" s="5" t="s">
        <v>1310</v>
      </c>
      <c r="C436" s="6" t="s">
        <v>49</v>
      </c>
      <c r="D436" s="5" t="s">
        <v>129</v>
      </c>
      <c r="E436" s="5" t="s">
        <v>130</v>
      </c>
      <c r="F436" s="5" t="s">
        <v>76</v>
      </c>
      <c r="G436" s="5"/>
      <c r="H436" s="5" t="s">
        <v>131</v>
      </c>
      <c r="I436" s="5" t="s">
        <v>94</v>
      </c>
      <c r="J436" s="7" t="n">
        <v>2053</v>
      </c>
      <c r="K436" s="8" t="n">
        <v>14200</v>
      </c>
      <c r="L436" s="8" t="n">
        <v>12</v>
      </c>
      <c r="M436" s="8" t="n">
        <v>79227.08</v>
      </c>
      <c r="N436" s="8" t="n">
        <v>516158</v>
      </c>
      <c r="O436" s="5" t="n">
        <v>35</v>
      </c>
      <c r="P436" s="9" t="n">
        <v>3.98</v>
      </c>
      <c r="Q436" s="5" t="n">
        <v>1.85</v>
      </c>
      <c r="R436" s="5" t="s">
        <v>95</v>
      </c>
      <c r="S436" s="5" t="s">
        <v>311</v>
      </c>
      <c r="T436" s="5" t="n">
        <v>63</v>
      </c>
      <c r="U436" s="5" t="s">
        <v>80</v>
      </c>
      <c r="V436" s="5" t="s">
        <v>1311</v>
      </c>
    </row>
    <row r="437" customFormat="false" ht="15" hidden="false" customHeight="false" outlineLevel="0" collapsed="false">
      <c r="A437" s="5" t="n">
        <v>436</v>
      </c>
      <c r="B437" s="5" t="s">
        <v>1312</v>
      </c>
      <c r="C437" s="6" t="s">
        <v>49</v>
      </c>
      <c r="D437" s="5" t="s">
        <v>139</v>
      </c>
      <c r="E437" s="5" t="s">
        <v>140</v>
      </c>
      <c r="F437" s="5" t="s">
        <v>212</v>
      </c>
      <c r="G437" s="5" t="s">
        <v>1040</v>
      </c>
      <c r="H437" s="5" t="s">
        <v>245</v>
      </c>
      <c r="I437" s="5" t="s">
        <v>256</v>
      </c>
      <c r="J437" s="7" t="n">
        <v>2049</v>
      </c>
      <c r="K437" s="8" t="n">
        <v>23300</v>
      </c>
      <c r="L437" s="8" t="n">
        <v>93</v>
      </c>
      <c r="M437" s="8" t="n">
        <v>71883.59</v>
      </c>
      <c r="N437" s="8" t="n">
        <v>1393457</v>
      </c>
      <c r="O437" s="5" t="n">
        <v>11</v>
      </c>
      <c r="P437" s="9" t="n">
        <v>1.47</v>
      </c>
      <c r="Q437" s="5" t="n">
        <v>0.88</v>
      </c>
      <c r="R437" s="5" t="s">
        <v>95</v>
      </c>
      <c r="S437" s="5" t="s">
        <v>165</v>
      </c>
      <c r="T437" s="5" t="n">
        <v>95</v>
      </c>
      <c r="U437" s="5" t="s">
        <v>80</v>
      </c>
      <c r="V437" s="5" t="s">
        <v>1313</v>
      </c>
    </row>
    <row r="438" customFormat="false" ht="15" hidden="false" customHeight="false" outlineLevel="0" collapsed="false">
      <c r="A438" s="5" t="n">
        <v>437</v>
      </c>
      <c r="B438" s="5" t="s">
        <v>1314</v>
      </c>
      <c r="C438" s="6" t="s">
        <v>49</v>
      </c>
      <c r="D438" s="5" t="s">
        <v>550</v>
      </c>
      <c r="E438" s="5" t="s">
        <v>551</v>
      </c>
      <c r="F438" s="5" t="s">
        <v>76</v>
      </c>
      <c r="G438" s="5" t="s">
        <v>101</v>
      </c>
      <c r="H438" s="5" t="s">
        <v>77</v>
      </c>
      <c r="I438" s="5" t="s">
        <v>78</v>
      </c>
      <c r="J438" s="7" t="n">
        <v>2041</v>
      </c>
      <c r="K438" s="8" t="n">
        <v>64200</v>
      </c>
      <c r="L438" s="8" t="n">
        <v>61</v>
      </c>
      <c r="M438" s="8" t="n">
        <v>60196.72</v>
      </c>
      <c r="N438" s="8" t="n">
        <v>366530</v>
      </c>
      <c r="O438" s="5" t="n">
        <v>21.3</v>
      </c>
      <c r="P438" s="9" t="n">
        <v>5.57</v>
      </c>
      <c r="Q438" s="5" t="n">
        <v>0.41</v>
      </c>
      <c r="R438" s="5" t="s">
        <v>95</v>
      </c>
      <c r="S438" s="5" t="s">
        <v>79</v>
      </c>
      <c r="T438" s="5" t="n">
        <v>96</v>
      </c>
      <c r="U438" s="5" t="s">
        <v>80</v>
      </c>
      <c r="V438" s="5" t="s">
        <v>1315</v>
      </c>
    </row>
    <row r="439" customFormat="false" ht="15" hidden="false" customHeight="false" outlineLevel="0" collapsed="false">
      <c r="A439" s="5" t="n">
        <v>438</v>
      </c>
      <c r="B439" s="5" t="s">
        <v>1316</v>
      </c>
      <c r="C439" s="6" t="s">
        <v>49</v>
      </c>
      <c r="D439" s="5" t="s">
        <v>351</v>
      </c>
      <c r="E439" s="5" t="s">
        <v>352</v>
      </c>
      <c r="F439" s="5" t="s">
        <v>76</v>
      </c>
      <c r="G439" s="5" t="s">
        <v>101</v>
      </c>
      <c r="H439" s="5" t="s">
        <v>473</v>
      </c>
      <c r="I439" s="5" t="s">
        <v>657</v>
      </c>
      <c r="J439" s="7" t="n">
        <v>2030</v>
      </c>
      <c r="K439" s="8" t="n">
        <v>5130</v>
      </c>
      <c r="L439" s="8" t="n">
        <v>39</v>
      </c>
      <c r="M439" s="8" t="n">
        <v>25074.62</v>
      </c>
      <c r="N439" s="8" t="n">
        <v>505095</v>
      </c>
      <c r="O439" s="5" t="n">
        <v>18.4</v>
      </c>
      <c r="P439" s="9" t="n">
        <v>4.02</v>
      </c>
      <c r="Q439" s="5" t="n">
        <v>2.35</v>
      </c>
      <c r="R439" s="5" t="s">
        <v>53</v>
      </c>
      <c r="S439" s="5" t="s">
        <v>79</v>
      </c>
      <c r="T439" s="5" t="n">
        <v>96</v>
      </c>
      <c r="U439" s="5" t="s">
        <v>80</v>
      </c>
      <c r="V439" s="5" t="s">
        <v>1317</v>
      </c>
    </row>
    <row r="440" customFormat="false" ht="15" hidden="false" customHeight="false" outlineLevel="0" collapsed="false">
      <c r="A440" s="5" t="n">
        <v>439</v>
      </c>
      <c r="B440" s="5" t="s">
        <v>1318</v>
      </c>
      <c r="C440" s="6" t="s">
        <v>49</v>
      </c>
      <c r="D440" s="5" t="s">
        <v>515</v>
      </c>
      <c r="E440" s="5" t="s">
        <v>516</v>
      </c>
      <c r="F440" s="5"/>
      <c r="G440" s="5"/>
      <c r="H440" s="5" t="s">
        <v>1319</v>
      </c>
      <c r="I440" s="5"/>
      <c r="J440" s="7" t="n">
        <v>2022</v>
      </c>
      <c r="K440" s="8" t="n">
        <v>4590</v>
      </c>
      <c r="L440" s="8" t="n">
        <v>2</v>
      </c>
      <c r="M440" s="8" t="n">
        <v>358000</v>
      </c>
      <c r="N440" s="8" t="n">
        <v>716000</v>
      </c>
      <c r="O440" s="5" t="n">
        <v>27.5</v>
      </c>
      <c r="P440" s="9" t="n">
        <v>2.82</v>
      </c>
      <c r="Q440" s="5" t="n">
        <v>105.29</v>
      </c>
      <c r="R440" s="5" t="s">
        <v>53</v>
      </c>
      <c r="S440" s="5" t="s">
        <v>1320</v>
      </c>
      <c r="T440" s="5" t="n">
        <v>10</v>
      </c>
      <c r="U440" s="5" t="s">
        <v>55</v>
      </c>
      <c r="V440" s="5" t="s">
        <v>1321</v>
      </c>
    </row>
    <row r="441" customFormat="false" ht="15" hidden="false" customHeight="false" outlineLevel="0" collapsed="false">
      <c r="A441" s="5" t="n">
        <v>440</v>
      </c>
      <c r="B441" s="5" t="s">
        <v>1322</v>
      </c>
      <c r="C441" s="6" t="s">
        <v>49</v>
      </c>
      <c r="D441" s="5" t="s">
        <v>399</v>
      </c>
      <c r="E441" s="5" t="s">
        <v>400</v>
      </c>
      <c r="F441" s="5"/>
      <c r="G441" s="5"/>
      <c r="H441" s="5" t="s">
        <v>1323</v>
      </c>
      <c r="I441" s="5"/>
      <c r="J441" s="7" t="n">
        <v>2015</v>
      </c>
      <c r="K441" s="8" t="n">
        <v>17700</v>
      </c>
      <c r="L441" s="8" t="n">
        <v>89</v>
      </c>
      <c r="M441" s="8" t="n">
        <v>37272</v>
      </c>
      <c r="N441" s="8" t="n">
        <v>495231</v>
      </c>
      <c r="O441" s="5" t="n">
        <v>131.7</v>
      </c>
      <c r="P441" s="9" t="n">
        <v>4.07</v>
      </c>
      <c r="Q441" s="5" t="n">
        <v>2.8</v>
      </c>
      <c r="R441" s="5" t="s">
        <v>53</v>
      </c>
      <c r="S441" s="5" t="s">
        <v>71</v>
      </c>
      <c r="T441" s="5" t="n">
        <v>153</v>
      </c>
      <c r="U441" s="5" t="s">
        <v>55</v>
      </c>
      <c r="V441" s="10" t="s">
        <v>1324</v>
      </c>
    </row>
    <row r="442" customFormat="false" ht="15" hidden="false" customHeight="false" outlineLevel="0" collapsed="false">
      <c r="A442" s="5" t="n">
        <v>441</v>
      </c>
      <c r="B442" s="5" t="s">
        <v>1325</v>
      </c>
      <c r="C442" s="6" t="s">
        <v>49</v>
      </c>
      <c r="D442" s="5" t="s">
        <v>1273</v>
      </c>
      <c r="E442" s="5" t="s">
        <v>1274</v>
      </c>
      <c r="F442" s="5" t="s">
        <v>76</v>
      </c>
      <c r="G442" s="5" t="s">
        <v>101</v>
      </c>
      <c r="H442" s="5" t="s">
        <v>333</v>
      </c>
      <c r="I442" s="5" t="s">
        <v>94</v>
      </c>
      <c r="J442" s="7" t="n">
        <v>2013</v>
      </c>
      <c r="K442" s="8" t="n">
        <v>11500</v>
      </c>
      <c r="L442" s="8" t="n">
        <v>111</v>
      </c>
      <c r="M442" s="8" t="n">
        <v>14745.57</v>
      </c>
      <c r="N442" s="8" t="n">
        <v>407997</v>
      </c>
      <c r="O442" s="5" t="n">
        <v>27</v>
      </c>
      <c r="P442" s="9" t="n">
        <v>4.93</v>
      </c>
      <c r="Q442" s="5" t="n">
        <v>0.27</v>
      </c>
      <c r="R442" s="5" t="s">
        <v>95</v>
      </c>
      <c r="S442" s="5" t="s">
        <v>184</v>
      </c>
      <c r="T442" s="5" t="n">
        <v>64</v>
      </c>
      <c r="U442" s="5" t="s">
        <v>80</v>
      </c>
      <c r="V442" s="5" t="s">
        <v>1326</v>
      </c>
    </row>
    <row r="443" customFormat="false" ht="15" hidden="false" customHeight="false" outlineLevel="0" collapsed="false">
      <c r="A443" s="5" t="n">
        <v>442</v>
      </c>
      <c r="B443" s="5" t="s">
        <v>1327</v>
      </c>
      <c r="C443" s="6" t="s">
        <v>49</v>
      </c>
      <c r="D443" s="5" t="s">
        <v>50</v>
      </c>
      <c r="E443" s="5" t="s">
        <v>51</v>
      </c>
      <c r="F443" s="5"/>
      <c r="G443" s="5"/>
      <c r="H443" s="5" t="s">
        <v>1328</v>
      </c>
      <c r="I443" s="5"/>
      <c r="J443" s="7" t="n">
        <v>1973</v>
      </c>
      <c r="K443" s="8" t="n">
        <v>6310</v>
      </c>
      <c r="L443" s="8" t="n">
        <v>45</v>
      </c>
      <c r="M443" s="8" t="n">
        <v>32207</v>
      </c>
      <c r="N443" s="8" t="n">
        <v>1412434</v>
      </c>
      <c r="O443" s="5" t="n">
        <v>14.2</v>
      </c>
      <c r="P443" s="9" t="n">
        <v>1.4</v>
      </c>
      <c r="Q443" s="5" t="n">
        <v>1.85</v>
      </c>
      <c r="R443" s="5" t="s">
        <v>53</v>
      </c>
      <c r="S443" s="5" t="s">
        <v>65</v>
      </c>
      <c r="T443" s="5" t="n">
        <v>30</v>
      </c>
      <c r="U443" s="5" t="s">
        <v>55</v>
      </c>
      <c r="V443" s="5" t="s">
        <v>1329</v>
      </c>
    </row>
    <row r="444" customFormat="false" ht="15" hidden="false" customHeight="false" outlineLevel="0" collapsed="false">
      <c r="A444" s="5" t="n">
        <v>443</v>
      </c>
      <c r="B444" s="5" t="s">
        <v>1330</v>
      </c>
      <c r="C444" s="6" t="s">
        <v>49</v>
      </c>
      <c r="D444" s="5" t="s">
        <v>83</v>
      </c>
      <c r="E444" s="5" t="s">
        <v>84</v>
      </c>
      <c r="F444" s="5" t="s">
        <v>76</v>
      </c>
      <c r="G444" s="5" t="s">
        <v>101</v>
      </c>
      <c r="H444" s="5" t="s">
        <v>1331</v>
      </c>
      <c r="I444" s="5" t="s">
        <v>296</v>
      </c>
      <c r="J444" s="7" t="n">
        <v>1962</v>
      </c>
      <c r="K444" s="8" t="n">
        <v>2440</v>
      </c>
      <c r="L444" s="8" t="n">
        <v>299</v>
      </c>
      <c r="M444" s="8" t="n">
        <v>4559.73</v>
      </c>
      <c r="N444" s="8" t="n">
        <v>798007</v>
      </c>
      <c r="O444" s="5" t="n">
        <v>15.5</v>
      </c>
      <c r="P444" s="9" t="n">
        <v>2.46</v>
      </c>
      <c r="Q444" s="5" t="n">
        <v>0.29</v>
      </c>
      <c r="R444" s="5" t="s">
        <v>53</v>
      </c>
      <c r="S444" s="5" t="s">
        <v>375</v>
      </c>
      <c r="T444" s="5" t="n">
        <v>125</v>
      </c>
      <c r="U444" s="5" t="s">
        <v>80</v>
      </c>
      <c r="V444" s="5" t="s">
        <v>1332</v>
      </c>
    </row>
    <row r="445" customFormat="false" ht="15" hidden="false" customHeight="false" outlineLevel="0" collapsed="false">
      <c r="A445" s="5" t="n">
        <v>444</v>
      </c>
      <c r="B445" s="5" t="s">
        <v>1333</v>
      </c>
      <c r="C445" s="6" t="s">
        <v>49</v>
      </c>
      <c r="D445" s="5" t="s">
        <v>274</v>
      </c>
      <c r="E445" s="5" t="s">
        <v>275</v>
      </c>
      <c r="F445" s="5" t="s">
        <v>76</v>
      </c>
      <c r="G445" s="5"/>
      <c r="H445" s="5" t="s">
        <v>276</v>
      </c>
      <c r="I445" s="5" t="s">
        <v>94</v>
      </c>
      <c r="J445" s="7" t="n">
        <v>1961</v>
      </c>
      <c r="K445" s="8" t="n">
        <v>4120</v>
      </c>
      <c r="L445" s="8" t="n">
        <v>73</v>
      </c>
      <c r="M445" s="8" t="n">
        <v>12120.53</v>
      </c>
      <c r="N445" s="8" t="n">
        <v>209069</v>
      </c>
      <c r="O445" s="5" t="n">
        <v>91.8</v>
      </c>
      <c r="P445" s="9" t="n">
        <v>9.38</v>
      </c>
      <c r="Q445" s="5" t="n">
        <v>0.26</v>
      </c>
      <c r="R445" s="5" t="s">
        <v>95</v>
      </c>
      <c r="S445" s="5" t="s">
        <v>1334</v>
      </c>
      <c r="T445" s="5" t="n">
        <v>62</v>
      </c>
      <c r="U445" s="5" t="s">
        <v>80</v>
      </c>
      <c r="V445" s="5" t="s">
        <v>1335</v>
      </c>
    </row>
    <row r="446" customFormat="false" ht="15" hidden="false" customHeight="false" outlineLevel="0" collapsed="false">
      <c r="A446" s="5" t="n">
        <v>445</v>
      </c>
      <c r="B446" s="5" t="s">
        <v>1336</v>
      </c>
      <c r="C446" s="6" t="s">
        <v>49</v>
      </c>
      <c r="D446" s="5" t="s">
        <v>307</v>
      </c>
      <c r="E446" s="5" t="s">
        <v>308</v>
      </c>
      <c r="F446" s="5" t="s">
        <v>76</v>
      </c>
      <c r="G446" s="5"/>
      <c r="H446" s="5" t="s">
        <v>237</v>
      </c>
      <c r="I446" s="5" t="s">
        <v>296</v>
      </c>
      <c r="J446" s="7" t="n">
        <v>1930</v>
      </c>
      <c r="K446" s="8" t="n">
        <v>10400</v>
      </c>
      <c r="L446" s="8" t="n">
        <v>108</v>
      </c>
      <c r="M446" s="8" t="n">
        <v>14730.07</v>
      </c>
      <c r="N446" s="8" t="n">
        <v>277519</v>
      </c>
      <c r="O446" s="5" t="n">
        <v>29.8</v>
      </c>
      <c r="P446" s="9" t="n">
        <v>6.95</v>
      </c>
      <c r="Q446" s="5" t="n">
        <v>0.36</v>
      </c>
      <c r="R446" s="5" t="s">
        <v>53</v>
      </c>
      <c r="S446" s="5" t="s">
        <v>79</v>
      </c>
      <c r="T446" s="5" t="n">
        <v>96</v>
      </c>
      <c r="U446" s="5" t="s">
        <v>80</v>
      </c>
      <c r="V446" s="5" t="s">
        <v>1337</v>
      </c>
    </row>
    <row r="447" customFormat="false" ht="15" hidden="false" customHeight="false" outlineLevel="0" collapsed="false">
      <c r="A447" s="5" t="n">
        <v>446</v>
      </c>
      <c r="B447" s="5" t="s">
        <v>1338</v>
      </c>
      <c r="C447" s="6" t="s">
        <v>49</v>
      </c>
      <c r="D447" s="5" t="s">
        <v>187</v>
      </c>
      <c r="E447" s="5" t="s">
        <v>188</v>
      </c>
      <c r="F447" s="5"/>
      <c r="G447" s="5"/>
      <c r="H447" s="5" t="s">
        <v>1339</v>
      </c>
      <c r="I447" s="5"/>
      <c r="J447" s="7" t="n">
        <v>1923</v>
      </c>
      <c r="K447" s="8" t="n">
        <v>2440</v>
      </c>
      <c r="L447" s="8" t="n">
        <v>61</v>
      </c>
      <c r="M447" s="8" t="n">
        <v>4703</v>
      </c>
      <c r="N447" s="8" t="n">
        <v>247998</v>
      </c>
      <c r="O447" s="5" t="n">
        <v>43.2</v>
      </c>
      <c r="P447" s="9" t="n">
        <v>7.75</v>
      </c>
      <c r="Q447" s="5" t="n">
        <v>0.62</v>
      </c>
      <c r="R447" s="5" t="s">
        <v>95</v>
      </c>
      <c r="S447" s="5" t="s">
        <v>86</v>
      </c>
      <c r="T447" s="5" t="n">
        <v>61</v>
      </c>
      <c r="U447" s="5" t="s">
        <v>55</v>
      </c>
      <c r="V447" s="5" t="s">
        <v>1340</v>
      </c>
    </row>
    <row r="448" customFormat="false" ht="15" hidden="false" customHeight="false" outlineLevel="0" collapsed="false">
      <c r="A448" s="5" t="n">
        <v>447</v>
      </c>
      <c r="B448" s="5" t="s">
        <v>1341</v>
      </c>
      <c r="C448" s="6" t="s">
        <v>49</v>
      </c>
      <c r="D448" s="5" t="s">
        <v>633</v>
      </c>
      <c r="E448" s="5" t="s">
        <v>634</v>
      </c>
      <c r="F448" s="5" t="s">
        <v>76</v>
      </c>
      <c r="G448" s="5" t="s">
        <v>101</v>
      </c>
      <c r="H448" s="5" t="s">
        <v>581</v>
      </c>
      <c r="I448" s="5" t="s">
        <v>94</v>
      </c>
      <c r="J448" s="7" t="n">
        <v>1921</v>
      </c>
      <c r="K448" s="8" t="n">
        <v>24600</v>
      </c>
      <c r="L448" s="8" t="n">
        <v>12</v>
      </c>
      <c r="M448" s="8" t="n">
        <v>145962.83</v>
      </c>
      <c r="N448" s="8" t="n">
        <v>962834</v>
      </c>
      <c r="O448" s="5" t="n">
        <v>22.7</v>
      </c>
      <c r="P448" s="9" t="n">
        <v>1.99</v>
      </c>
      <c r="Q448" s="5" t="n">
        <v>1.02</v>
      </c>
      <c r="R448" s="5" t="s">
        <v>95</v>
      </c>
      <c r="S448" s="5" t="s">
        <v>184</v>
      </c>
      <c r="T448" s="5" t="n">
        <v>64</v>
      </c>
      <c r="U448" s="5" t="s">
        <v>80</v>
      </c>
      <c r="V448" s="5" t="s">
        <v>1342</v>
      </c>
    </row>
    <row r="449" customFormat="false" ht="15" hidden="false" customHeight="false" outlineLevel="0" collapsed="false">
      <c r="A449" s="5" t="n">
        <v>448</v>
      </c>
      <c r="B449" s="5" t="s">
        <v>1343</v>
      </c>
      <c r="C449" s="6" t="s">
        <v>49</v>
      </c>
      <c r="D449" s="5" t="s">
        <v>651</v>
      </c>
      <c r="E449" s="5" t="s">
        <v>652</v>
      </c>
      <c r="F449" s="5" t="s">
        <v>212</v>
      </c>
      <c r="G449" s="5"/>
      <c r="H449" s="5" t="s">
        <v>653</v>
      </c>
      <c r="I449" s="5" t="s">
        <v>122</v>
      </c>
      <c r="J449" s="7" t="n">
        <v>1907</v>
      </c>
      <c r="K449" s="8" t="n">
        <v>8570</v>
      </c>
      <c r="L449" s="8" t="n">
        <v>149</v>
      </c>
      <c r="M449" s="8" t="n">
        <v>17354.43</v>
      </c>
      <c r="N449" s="8" t="n">
        <v>986109</v>
      </c>
      <c r="O449" s="5" t="n">
        <v>95.5</v>
      </c>
      <c r="P449" s="9" t="n">
        <v>1.93</v>
      </c>
      <c r="Q449" s="5" t="n">
        <v>2.26</v>
      </c>
      <c r="R449" s="5" t="s">
        <v>53</v>
      </c>
      <c r="S449" s="5" t="s">
        <v>184</v>
      </c>
      <c r="T449" s="5" t="n">
        <v>64</v>
      </c>
      <c r="U449" s="5" t="s">
        <v>80</v>
      </c>
      <c r="V449" s="5" t="s">
        <v>1344</v>
      </c>
    </row>
    <row r="450" customFormat="false" ht="15" hidden="false" customHeight="false" outlineLevel="0" collapsed="false">
      <c r="A450" s="5" t="n">
        <v>449</v>
      </c>
      <c r="B450" s="5" t="s">
        <v>1345</v>
      </c>
      <c r="C450" s="6" t="s">
        <v>49</v>
      </c>
      <c r="D450" s="5" t="s">
        <v>1283</v>
      </c>
      <c r="E450" s="5" t="s">
        <v>1284</v>
      </c>
      <c r="F450" s="5" t="s">
        <v>76</v>
      </c>
      <c r="G450" s="5" t="s">
        <v>101</v>
      </c>
      <c r="H450" s="5" t="s">
        <v>1346</v>
      </c>
      <c r="I450" s="5" t="s">
        <v>122</v>
      </c>
      <c r="J450" s="7" t="n">
        <v>1902</v>
      </c>
      <c r="K450" s="8" t="n">
        <v>1050</v>
      </c>
      <c r="L450" s="8" t="n">
        <v>63</v>
      </c>
      <c r="M450" s="8" t="n">
        <v>9811.56</v>
      </c>
      <c r="N450" s="8" t="n">
        <v>327242</v>
      </c>
      <c r="O450" s="5" t="n">
        <v>44.3</v>
      </c>
      <c r="P450" s="9" t="n">
        <v>5.81</v>
      </c>
      <c r="Q450" s="5" t="n">
        <v>0.25</v>
      </c>
      <c r="R450" s="5" t="s">
        <v>95</v>
      </c>
      <c r="S450" s="5" t="s">
        <v>184</v>
      </c>
      <c r="T450" s="5" t="n">
        <v>64</v>
      </c>
      <c r="U450" s="5" t="s">
        <v>80</v>
      </c>
      <c r="V450" s="5" t="s">
        <v>1347</v>
      </c>
    </row>
    <row r="451" customFormat="false" ht="15" hidden="false" customHeight="false" outlineLevel="0" collapsed="false">
      <c r="A451" s="5" t="n">
        <v>450</v>
      </c>
      <c r="B451" s="5" t="s">
        <v>1348</v>
      </c>
      <c r="C451" s="6" t="s">
        <v>49</v>
      </c>
      <c r="D451" s="5" t="s">
        <v>1273</v>
      </c>
      <c r="E451" s="5" t="s">
        <v>1274</v>
      </c>
      <c r="F451" s="5" t="s">
        <v>76</v>
      </c>
      <c r="G451" s="5" t="s">
        <v>370</v>
      </c>
      <c r="H451" s="5" t="s">
        <v>121</v>
      </c>
      <c r="I451" s="5" t="s">
        <v>78</v>
      </c>
      <c r="J451" s="7" t="n">
        <v>1879</v>
      </c>
      <c r="K451" s="8" t="n">
        <v>3750</v>
      </c>
      <c r="L451" s="8" t="n">
        <v>37</v>
      </c>
      <c r="M451" s="8" t="n">
        <v>26810.32</v>
      </c>
      <c r="N451" s="8" t="n">
        <v>526510</v>
      </c>
      <c r="O451" s="5" t="n">
        <v>18</v>
      </c>
      <c r="P451" s="9" t="n">
        <v>3.57</v>
      </c>
      <c r="Q451" s="5" t="n">
        <v>3.53</v>
      </c>
      <c r="R451" s="5" t="s">
        <v>53</v>
      </c>
      <c r="S451" s="5" t="s">
        <v>79</v>
      </c>
      <c r="T451" s="5" t="n">
        <v>96</v>
      </c>
      <c r="U451" s="5" t="s">
        <v>80</v>
      </c>
      <c r="V451" s="5" t="s">
        <v>1349</v>
      </c>
    </row>
    <row r="452" customFormat="false" ht="15" hidden="false" customHeight="false" outlineLevel="0" collapsed="false">
      <c r="A452" s="5" t="n">
        <v>451</v>
      </c>
      <c r="B452" s="5" t="s">
        <v>1350</v>
      </c>
      <c r="C452" s="6" t="s">
        <v>49</v>
      </c>
      <c r="D452" s="5" t="s">
        <v>274</v>
      </c>
      <c r="E452" s="5" t="s">
        <v>275</v>
      </c>
      <c r="F452" s="5"/>
      <c r="G452" s="5"/>
      <c r="H452" s="5" t="s">
        <v>1351</v>
      </c>
      <c r="I452" s="5"/>
      <c r="J452" s="7" t="n">
        <v>1875</v>
      </c>
      <c r="K452" s="8" t="n">
        <v>4000</v>
      </c>
      <c r="L452" s="8" t="n">
        <v>11</v>
      </c>
      <c r="M452" s="8" t="n">
        <v>60424</v>
      </c>
      <c r="N452" s="8" t="n">
        <v>407651</v>
      </c>
      <c r="O452" s="5" t="n">
        <v>23.4</v>
      </c>
      <c r="P452" s="9" t="n">
        <v>4.6</v>
      </c>
      <c r="Q452" s="5" t="n">
        <v>0.94</v>
      </c>
      <c r="R452" s="5" t="s">
        <v>53</v>
      </c>
      <c r="S452" s="5" t="s">
        <v>86</v>
      </c>
      <c r="T452" s="5" t="n">
        <v>61</v>
      </c>
      <c r="U452" s="5" t="s">
        <v>55</v>
      </c>
      <c r="V452" s="5" t="s">
        <v>1352</v>
      </c>
    </row>
    <row r="453" customFormat="false" ht="15" hidden="false" customHeight="false" outlineLevel="0" collapsed="false">
      <c r="A453" s="5" t="n">
        <v>452</v>
      </c>
      <c r="B453" s="5" t="s">
        <v>1353</v>
      </c>
      <c r="C453" s="6" t="s">
        <v>49</v>
      </c>
      <c r="D453" s="5" t="s">
        <v>1354</v>
      </c>
      <c r="E453" s="5" t="s">
        <v>1355</v>
      </c>
      <c r="F453" s="5" t="s">
        <v>76</v>
      </c>
      <c r="G453" s="5" t="s">
        <v>101</v>
      </c>
      <c r="H453" s="5" t="s">
        <v>1356</v>
      </c>
      <c r="I453" s="5" t="s">
        <v>122</v>
      </c>
      <c r="J453" s="7" t="n">
        <v>1865</v>
      </c>
      <c r="K453" s="8" t="n">
        <v>3050</v>
      </c>
      <c r="L453" s="8" t="n">
        <v>22</v>
      </c>
      <c r="M453" s="8" t="n">
        <v>16940.64</v>
      </c>
      <c r="N453" s="8" t="n">
        <v>115647</v>
      </c>
      <c r="O453" s="5" t="n">
        <v>117.6</v>
      </c>
      <c r="P453" s="9" t="n">
        <v>16.13</v>
      </c>
      <c r="Q453" s="5" t="n">
        <v>2.63</v>
      </c>
      <c r="R453" s="5" t="s">
        <v>95</v>
      </c>
      <c r="S453" s="5" t="s">
        <v>184</v>
      </c>
      <c r="T453" s="5" t="n">
        <v>64</v>
      </c>
      <c r="U453" s="5" t="s">
        <v>80</v>
      </c>
      <c r="V453" s="5" t="s">
        <v>1357</v>
      </c>
    </row>
    <row r="454" customFormat="false" ht="15" hidden="false" customHeight="false" outlineLevel="0" collapsed="false">
      <c r="A454" s="5" t="n">
        <v>453</v>
      </c>
      <c r="B454" s="5" t="s">
        <v>1358</v>
      </c>
      <c r="C454" s="6" t="s">
        <v>49</v>
      </c>
      <c r="D454" s="5" t="s">
        <v>1354</v>
      </c>
      <c r="E454" s="5" t="s">
        <v>1355</v>
      </c>
      <c r="F454" s="5" t="s">
        <v>76</v>
      </c>
      <c r="G454" s="5"/>
      <c r="H454" s="5" t="s">
        <v>1356</v>
      </c>
      <c r="I454" s="5" t="s">
        <v>122</v>
      </c>
      <c r="J454" s="7" t="n">
        <v>1854</v>
      </c>
      <c r="K454" s="8" t="n">
        <v>1720</v>
      </c>
      <c r="L454" s="8" t="n">
        <v>43</v>
      </c>
      <c r="M454" s="8" t="n">
        <v>6749.49</v>
      </c>
      <c r="N454" s="8" t="n">
        <v>161500</v>
      </c>
      <c r="O454" s="5" t="n">
        <v>114.9</v>
      </c>
      <c r="P454" s="9" t="n">
        <v>11.48</v>
      </c>
      <c r="Q454" s="5" t="n">
        <v>1.5</v>
      </c>
      <c r="R454" s="5" t="s">
        <v>95</v>
      </c>
      <c r="S454" s="5" t="s">
        <v>103</v>
      </c>
      <c r="T454" s="5" t="n">
        <v>65</v>
      </c>
      <c r="U454" s="5" t="s">
        <v>80</v>
      </c>
      <c r="V454" s="5" t="s">
        <v>1359</v>
      </c>
    </row>
    <row r="455" customFormat="false" ht="15" hidden="false" customHeight="false" outlineLevel="0" collapsed="false">
      <c r="A455" s="5" t="n">
        <v>454</v>
      </c>
      <c r="B455" s="5" t="s">
        <v>1360</v>
      </c>
      <c r="C455" s="6" t="s">
        <v>49</v>
      </c>
      <c r="D455" s="5" t="s">
        <v>314</v>
      </c>
      <c r="E455" s="5" t="s">
        <v>315</v>
      </c>
      <c r="F455" s="5" t="s">
        <v>76</v>
      </c>
      <c r="G455" s="5"/>
      <c r="H455" s="5" t="s">
        <v>581</v>
      </c>
      <c r="I455" s="5" t="s">
        <v>94</v>
      </c>
      <c r="J455" s="7" t="n">
        <v>1853</v>
      </c>
      <c r="K455" s="8" t="n">
        <v>5430</v>
      </c>
      <c r="L455" s="8" t="n">
        <v>47</v>
      </c>
      <c r="M455" s="8" t="n">
        <v>36141.68</v>
      </c>
      <c r="N455" s="8" t="n">
        <v>482197</v>
      </c>
      <c r="O455" s="5" t="n">
        <v>20.9</v>
      </c>
      <c r="P455" s="9" t="n">
        <v>3.84</v>
      </c>
      <c r="Q455" s="5" t="n">
        <v>0.5</v>
      </c>
      <c r="R455" s="5" t="s">
        <v>95</v>
      </c>
      <c r="S455" s="5" t="s">
        <v>79</v>
      </c>
      <c r="T455" s="5" t="n">
        <v>96</v>
      </c>
      <c r="U455" s="5" t="s">
        <v>80</v>
      </c>
      <c r="V455" s="5" t="s">
        <v>1361</v>
      </c>
    </row>
    <row r="456" customFormat="false" ht="15" hidden="false" customHeight="false" outlineLevel="0" collapsed="false">
      <c r="A456" s="5" t="n">
        <v>455</v>
      </c>
      <c r="B456" s="5" t="s">
        <v>1362</v>
      </c>
      <c r="C456" s="6" t="s">
        <v>49</v>
      </c>
      <c r="D456" s="5" t="s">
        <v>129</v>
      </c>
      <c r="E456" s="5" t="s">
        <v>130</v>
      </c>
      <c r="F456" s="5" t="s">
        <v>76</v>
      </c>
      <c r="G456" s="5"/>
      <c r="H456" s="5" t="s">
        <v>131</v>
      </c>
      <c r="I456" s="5" t="s">
        <v>94</v>
      </c>
      <c r="J456" s="7" t="n">
        <v>1843</v>
      </c>
      <c r="K456" s="8" t="n">
        <v>1930</v>
      </c>
      <c r="L456" s="8" t="n">
        <v>47</v>
      </c>
      <c r="M456" s="8" t="n">
        <v>7631.43</v>
      </c>
      <c r="N456" s="8" t="n">
        <v>187589</v>
      </c>
      <c r="O456" s="5" t="n">
        <v>31.4</v>
      </c>
      <c r="P456" s="9" t="n">
        <v>9.83</v>
      </c>
      <c r="Q456" s="5" t="n">
        <v>0.56</v>
      </c>
      <c r="R456" s="5" t="s">
        <v>95</v>
      </c>
      <c r="S456" s="5" t="s">
        <v>184</v>
      </c>
      <c r="T456" s="5" t="n">
        <v>64</v>
      </c>
      <c r="U456" s="5" t="s">
        <v>80</v>
      </c>
      <c r="V456" s="5" t="s">
        <v>1363</v>
      </c>
    </row>
    <row r="457" customFormat="false" ht="15" hidden="false" customHeight="false" outlineLevel="0" collapsed="false">
      <c r="A457" s="5" t="n">
        <v>456</v>
      </c>
      <c r="B457" s="5" t="s">
        <v>1364</v>
      </c>
      <c r="C457" s="6" t="s">
        <v>49</v>
      </c>
      <c r="D457" s="5" t="s">
        <v>385</v>
      </c>
      <c r="E457" s="5" t="s">
        <v>386</v>
      </c>
      <c r="F457" s="5" t="s">
        <v>76</v>
      </c>
      <c r="G457" s="5" t="s">
        <v>101</v>
      </c>
      <c r="H457" s="5" t="s">
        <v>93</v>
      </c>
      <c r="I457" s="5" t="s">
        <v>94</v>
      </c>
      <c r="J457" s="7" t="n">
        <v>1841</v>
      </c>
      <c r="K457" s="8" t="n">
        <v>2420</v>
      </c>
      <c r="L457" s="8" t="n">
        <v>29</v>
      </c>
      <c r="M457" s="8" t="n">
        <v>25562.14</v>
      </c>
      <c r="N457" s="8" t="n">
        <v>386991</v>
      </c>
      <c r="O457" s="5" t="n">
        <v>29.5</v>
      </c>
      <c r="P457" s="9" t="n">
        <v>4.76</v>
      </c>
      <c r="Q457" s="5" t="n">
        <v>3.24</v>
      </c>
      <c r="R457" s="5" t="s">
        <v>53</v>
      </c>
      <c r="S457" s="5" t="s">
        <v>103</v>
      </c>
      <c r="T457" s="5" t="n">
        <v>65</v>
      </c>
      <c r="U457" s="5" t="s">
        <v>80</v>
      </c>
      <c r="V457" s="5" t="s">
        <v>1365</v>
      </c>
    </row>
    <row r="458" customFormat="false" ht="15" hidden="false" customHeight="false" outlineLevel="0" collapsed="false">
      <c r="A458" s="5" t="n">
        <v>457</v>
      </c>
      <c r="B458" s="5" t="s">
        <v>1366</v>
      </c>
      <c r="C458" s="6" t="s">
        <v>49</v>
      </c>
      <c r="D458" s="5" t="s">
        <v>223</v>
      </c>
      <c r="E458" s="5" t="s">
        <v>224</v>
      </c>
      <c r="F458" s="5" t="s">
        <v>76</v>
      </c>
      <c r="G458" s="5" t="s">
        <v>101</v>
      </c>
      <c r="H458" s="5" t="s">
        <v>93</v>
      </c>
      <c r="I458" s="5" t="s">
        <v>109</v>
      </c>
      <c r="J458" s="7" t="n">
        <v>1815</v>
      </c>
      <c r="K458" s="8" t="n">
        <v>6800</v>
      </c>
      <c r="L458" s="8" t="n">
        <v>27</v>
      </c>
      <c r="M458" s="8" t="n">
        <v>75672.33</v>
      </c>
      <c r="N458" s="8" t="n">
        <v>473671</v>
      </c>
      <c r="O458" s="5" t="n">
        <v>33.5</v>
      </c>
      <c r="P458" s="9" t="n">
        <v>3.83</v>
      </c>
      <c r="Q458" s="5" t="n">
        <v>5</v>
      </c>
      <c r="R458" s="5" t="s">
        <v>95</v>
      </c>
      <c r="S458" s="5" t="s">
        <v>116</v>
      </c>
      <c r="T458" s="5" t="n">
        <v>126</v>
      </c>
      <c r="U458" s="5" t="s">
        <v>80</v>
      </c>
      <c r="V458" s="5" t="s">
        <v>1367</v>
      </c>
    </row>
    <row r="459" customFormat="false" ht="15" hidden="false" customHeight="false" outlineLevel="0" collapsed="false">
      <c r="A459" s="5" t="n">
        <v>458</v>
      </c>
      <c r="B459" s="5" t="s">
        <v>1368</v>
      </c>
      <c r="C459" s="6" t="s">
        <v>49</v>
      </c>
      <c r="D459" s="5" t="s">
        <v>307</v>
      </c>
      <c r="E459" s="5" t="s">
        <v>308</v>
      </c>
      <c r="F459" s="5" t="s">
        <v>212</v>
      </c>
      <c r="G459" s="5" t="s">
        <v>213</v>
      </c>
      <c r="H459" s="5" t="s">
        <v>310</v>
      </c>
      <c r="I459" s="5" t="s">
        <v>78</v>
      </c>
      <c r="J459" s="7" t="n">
        <v>1801</v>
      </c>
      <c r="K459" s="8" t="n">
        <v>3140</v>
      </c>
      <c r="L459" s="8" t="n">
        <v>206</v>
      </c>
      <c r="M459" s="8" t="n">
        <v>7439.84</v>
      </c>
      <c r="N459" s="8" t="n">
        <v>715077</v>
      </c>
      <c r="O459" s="5" t="n">
        <v>29.3</v>
      </c>
      <c r="P459" s="9" t="n">
        <v>2.52</v>
      </c>
      <c r="Q459" s="5" t="n">
        <v>0.62</v>
      </c>
      <c r="R459" s="5" t="s">
        <v>53</v>
      </c>
      <c r="S459" s="5" t="s">
        <v>165</v>
      </c>
      <c r="T459" s="5" t="n">
        <v>95</v>
      </c>
      <c r="U459" s="5" t="s">
        <v>80</v>
      </c>
      <c r="V459" s="5" t="s">
        <v>1369</v>
      </c>
    </row>
    <row r="460" customFormat="false" ht="15" hidden="false" customHeight="false" outlineLevel="0" collapsed="false">
      <c r="A460" s="5" t="n">
        <v>459</v>
      </c>
      <c r="B460" s="5" t="s">
        <v>1370</v>
      </c>
      <c r="C460" s="6" t="s">
        <v>49</v>
      </c>
      <c r="D460" s="5" t="s">
        <v>418</v>
      </c>
      <c r="E460" s="5" t="s">
        <v>419</v>
      </c>
      <c r="F460" s="5" t="s">
        <v>76</v>
      </c>
      <c r="G460" s="5" t="s">
        <v>101</v>
      </c>
      <c r="H460" s="5" t="s">
        <v>1371</v>
      </c>
      <c r="I460" s="5" t="s">
        <v>109</v>
      </c>
      <c r="J460" s="7" t="n">
        <v>1795</v>
      </c>
      <c r="K460" s="8" t="n">
        <v>55500</v>
      </c>
      <c r="L460" s="8" t="n">
        <v>19</v>
      </c>
      <c r="M460" s="8" t="n">
        <v>119155.56</v>
      </c>
      <c r="N460" s="8" t="n">
        <v>653990</v>
      </c>
      <c r="O460" s="5" t="n">
        <v>9.7</v>
      </c>
      <c r="P460" s="9" t="n">
        <v>2.75</v>
      </c>
      <c r="Q460" s="5" t="n">
        <v>0.48</v>
      </c>
      <c r="R460" s="5" t="s">
        <v>53</v>
      </c>
      <c r="S460" s="5" t="s">
        <v>116</v>
      </c>
      <c r="T460" s="5" t="n">
        <v>126</v>
      </c>
      <c r="U460" s="5" t="s">
        <v>80</v>
      </c>
      <c r="V460" s="5" t="s">
        <v>1372</v>
      </c>
    </row>
    <row r="461" customFormat="false" ht="15" hidden="false" customHeight="false" outlineLevel="0" collapsed="false">
      <c r="A461" s="5" t="n">
        <v>460</v>
      </c>
      <c r="B461" s="5" t="s">
        <v>1373</v>
      </c>
      <c r="C461" s="6" t="s">
        <v>49</v>
      </c>
      <c r="D461" s="5" t="s">
        <v>1045</v>
      </c>
      <c r="E461" s="5" t="s">
        <v>1046</v>
      </c>
      <c r="F461" s="5" t="s">
        <v>76</v>
      </c>
      <c r="G461" s="5" t="s">
        <v>101</v>
      </c>
      <c r="H461" s="5" t="s">
        <v>1374</v>
      </c>
      <c r="I461" s="5" t="s">
        <v>94</v>
      </c>
      <c r="J461" s="7" t="n">
        <v>1783</v>
      </c>
      <c r="K461" s="8" t="n">
        <v>18700</v>
      </c>
      <c r="L461" s="8" t="n">
        <v>49</v>
      </c>
      <c r="M461" s="8" t="n">
        <v>33473.24</v>
      </c>
      <c r="N461" s="8" t="n">
        <v>338700</v>
      </c>
      <c r="O461" s="5" t="n">
        <v>28.1</v>
      </c>
      <c r="P461" s="9" t="n">
        <v>5.26</v>
      </c>
      <c r="Q461" s="5" t="n">
        <v>0.94</v>
      </c>
      <c r="R461" s="5" t="s">
        <v>53</v>
      </c>
      <c r="S461" s="5" t="s">
        <v>79</v>
      </c>
      <c r="T461" s="5" t="n">
        <v>96</v>
      </c>
      <c r="U461" s="5" t="s">
        <v>80</v>
      </c>
      <c r="V461" s="5" t="s">
        <v>1375</v>
      </c>
    </row>
    <row r="462" customFormat="false" ht="15" hidden="false" customHeight="false" outlineLevel="0" collapsed="false">
      <c r="A462" s="5" t="n">
        <v>461</v>
      </c>
      <c r="B462" s="5" t="s">
        <v>1376</v>
      </c>
      <c r="C462" s="6" t="s">
        <v>49</v>
      </c>
      <c r="D462" s="5" t="s">
        <v>200</v>
      </c>
      <c r="E462" s="5" t="s">
        <v>201</v>
      </c>
      <c r="F462" s="5"/>
      <c r="G462" s="5"/>
      <c r="H462" s="5" t="s">
        <v>1377</v>
      </c>
      <c r="I462" s="5"/>
      <c r="J462" s="7" t="n">
        <v>1757</v>
      </c>
      <c r="K462" s="8" t="n">
        <v>3540</v>
      </c>
      <c r="L462" s="8" t="n">
        <v>73</v>
      </c>
      <c r="M462" s="8" t="n">
        <v>14346</v>
      </c>
      <c r="N462" s="8" t="n">
        <v>1339958</v>
      </c>
      <c r="O462" s="5" t="n">
        <v>11.3</v>
      </c>
      <c r="P462" s="9" t="n">
        <v>1.31</v>
      </c>
      <c r="Q462" s="5" t="n">
        <v>0.13</v>
      </c>
      <c r="R462" s="5" t="s">
        <v>53</v>
      </c>
      <c r="S462" s="5" t="s">
        <v>65</v>
      </c>
      <c r="T462" s="5" t="n">
        <v>30</v>
      </c>
      <c r="U462" s="5" t="s">
        <v>55</v>
      </c>
      <c r="V462" s="5" t="s">
        <v>1378</v>
      </c>
    </row>
    <row r="463" customFormat="false" ht="15" hidden="false" customHeight="false" outlineLevel="0" collapsed="false">
      <c r="A463" s="5" t="n">
        <v>462</v>
      </c>
      <c r="B463" s="5" t="s">
        <v>1379</v>
      </c>
      <c r="C463" s="6" t="s">
        <v>49</v>
      </c>
      <c r="D463" s="5" t="s">
        <v>223</v>
      </c>
      <c r="E463" s="5" t="s">
        <v>224</v>
      </c>
      <c r="F463" s="5" t="s">
        <v>212</v>
      </c>
      <c r="G463" s="5" t="s">
        <v>213</v>
      </c>
      <c r="H463" s="5" t="s">
        <v>93</v>
      </c>
      <c r="I463" s="5" t="s">
        <v>94</v>
      </c>
      <c r="J463" s="7" t="n">
        <v>1747</v>
      </c>
      <c r="K463" s="8" t="n">
        <v>9010</v>
      </c>
      <c r="L463" s="8" t="n">
        <v>22</v>
      </c>
      <c r="M463" s="8" t="n">
        <v>124240.91</v>
      </c>
      <c r="N463" s="8" t="n">
        <v>903492</v>
      </c>
      <c r="O463" s="5" t="n">
        <v>47.5</v>
      </c>
      <c r="P463" s="9" t="n">
        <v>1.93</v>
      </c>
      <c r="Q463" s="5" t="n">
        <v>15.74</v>
      </c>
      <c r="R463" s="5" t="s">
        <v>53</v>
      </c>
      <c r="S463" s="5" t="s">
        <v>165</v>
      </c>
      <c r="T463" s="5" t="n">
        <v>95</v>
      </c>
      <c r="U463" s="5" t="s">
        <v>80</v>
      </c>
      <c r="V463" s="5" t="s">
        <v>1380</v>
      </c>
    </row>
    <row r="464" customFormat="false" ht="15" hidden="false" customHeight="false" outlineLevel="0" collapsed="false">
      <c r="A464" s="5" t="n">
        <v>463</v>
      </c>
      <c r="B464" s="5" t="s">
        <v>1381</v>
      </c>
      <c r="C464" s="6" t="s">
        <v>49</v>
      </c>
      <c r="D464" s="5" t="s">
        <v>803</v>
      </c>
      <c r="E464" s="5" t="s">
        <v>804</v>
      </c>
      <c r="F464" s="5" t="s">
        <v>76</v>
      </c>
      <c r="G464" s="5" t="s">
        <v>101</v>
      </c>
      <c r="H464" s="5" t="s">
        <v>93</v>
      </c>
      <c r="I464" s="5" t="s">
        <v>94</v>
      </c>
      <c r="J464" s="7" t="n">
        <v>1737</v>
      </c>
      <c r="K464" s="8" t="n">
        <v>5500</v>
      </c>
      <c r="L464" s="8" t="n">
        <v>47</v>
      </c>
      <c r="M464" s="8" t="n">
        <v>20648.15</v>
      </c>
      <c r="N464" s="8" t="n">
        <v>332675</v>
      </c>
      <c r="O464" s="5" t="n">
        <v>26.9</v>
      </c>
      <c r="P464" s="9" t="n">
        <v>5.22</v>
      </c>
      <c r="Q464" s="5" t="n">
        <v>0.88</v>
      </c>
      <c r="R464" s="5" t="s">
        <v>95</v>
      </c>
      <c r="S464" s="5" t="s">
        <v>103</v>
      </c>
      <c r="T464" s="5" t="n">
        <v>65</v>
      </c>
      <c r="U464" s="5" t="s">
        <v>80</v>
      </c>
      <c r="V464" s="5" t="s">
        <v>1382</v>
      </c>
    </row>
    <row r="465" customFormat="false" ht="15" hidden="false" customHeight="false" outlineLevel="0" collapsed="false">
      <c r="A465" s="5" t="n">
        <v>464</v>
      </c>
      <c r="B465" s="5" t="s">
        <v>1383</v>
      </c>
      <c r="C465" s="6" t="s">
        <v>49</v>
      </c>
      <c r="D465" s="5" t="s">
        <v>231</v>
      </c>
      <c r="E465" s="5" t="s">
        <v>232</v>
      </c>
      <c r="F465" s="5" t="s">
        <v>156</v>
      </c>
      <c r="G465" s="5"/>
      <c r="H465" s="5" t="s">
        <v>93</v>
      </c>
      <c r="I465" s="5" t="s">
        <v>94</v>
      </c>
      <c r="J465" s="7" t="n">
        <v>1737</v>
      </c>
      <c r="K465" s="8" t="n">
        <v>5250</v>
      </c>
      <c r="L465" s="8" t="n">
        <v>86</v>
      </c>
      <c r="M465" s="8" t="n">
        <v>13013.21</v>
      </c>
      <c r="N465" s="8" t="n">
        <v>569440</v>
      </c>
      <c r="O465" s="5" t="n">
        <v>27.4</v>
      </c>
      <c r="P465" s="9" t="n">
        <v>3.05</v>
      </c>
      <c r="Q465" s="5" t="n">
        <v>1.54</v>
      </c>
      <c r="R465" s="5" t="s">
        <v>53</v>
      </c>
      <c r="S465" s="5" t="s">
        <v>184</v>
      </c>
      <c r="T465" s="5" t="n">
        <v>64</v>
      </c>
      <c r="U465" s="5" t="s">
        <v>80</v>
      </c>
      <c r="V465" s="5" t="s">
        <v>1384</v>
      </c>
    </row>
    <row r="466" customFormat="false" ht="15" hidden="false" customHeight="false" outlineLevel="0" collapsed="false">
      <c r="A466" s="5" t="n">
        <v>465</v>
      </c>
      <c r="B466" s="5" t="s">
        <v>1385</v>
      </c>
      <c r="C466" s="6" t="s">
        <v>49</v>
      </c>
      <c r="D466" s="5" t="s">
        <v>205</v>
      </c>
      <c r="E466" s="5" t="s">
        <v>206</v>
      </c>
      <c r="F466" s="5" t="s">
        <v>212</v>
      </c>
      <c r="G466" s="5" t="s">
        <v>219</v>
      </c>
      <c r="H466" s="5" t="s">
        <v>366</v>
      </c>
      <c r="I466" s="5" t="s">
        <v>109</v>
      </c>
      <c r="J466" s="7" t="n">
        <v>1712</v>
      </c>
      <c r="K466" s="8" t="n">
        <v>5030</v>
      </c>
      <c r="L466" s="8" t="n">
        <v>17</v>
      </c>
      <c r="M466" s="8" t="n">
        <v>68666.18</v>
      </c>
      <c r="N466" s="8" t="n">
        <v>590958</v>
      </c>
      <c r="O466" s="5" t="n">
        <v>12</v>
      </c>
      <c r="P466" s="9" t="n">
        <v>2.9</v>
      </c>
      <c r="Q466" s="5" t="n">
        <v>1.32</v>
      </c>
      <c r="R466" s="5" t="s">
        <v>95</v>
      </c>
      <c r="S466" s="5" t="s">
        <v>96</v>
      </c>
      <c r="T466" s="5" t="n">
        <v>33</v>
      </c>
      <c r="U466" s="5" t="s">
        <v>80</v>
      </c>
      <c r="V466" s="5" t="s">
        <v>1386</v>
      </c>
    </row>
    <row r="467" customFormat="false" ht="15" hidden="false" customHeight="false" outlineLevel="0" collapsed="false">
      <c r="A467" s="5" t="n">
        <v>466</v>
      </c>
      <c r="B467" s="5" t="s">
        <v>1387</v>
      </c>
      <c r="C467" s="6" t="s">
        <v>49</v>
      </c>
      <c r="D467" s="5" t="s">
        <v>545</v>
      </c>
      <c r="E467" s="5" t="s">
        <v>546</v>
      </c>
      <c r="F467" s="5"/>
      <c r="G467" s="5"/>
      <c r="H467" s="5" t="s">
        <v>1388</v>
      </c>
      <c r="I467" s="5"/>
      <c r="J467" s="7" t="n">
        <v>1702</v>
      </c>
      <c r="K467" s="8" t="n">
        <v>1840</v>
      </c>
      <c r="L467" s="8" t="n">
        <v>6</v>
      </c>
      <c r="M467" s="8" t="n">
        <v>65586</v>
      </c>
      <c r="N467" s="8" t="n">
        <v>393514</v>
      </c>
      <c r="O467" s="5" t="n">
        <v>28.4</v>
      </c>
      <c r="P467" s="9" t="n">
        <v>4.32</v>
      </c>
      <c r="Q467" s="5" t="n">
        <v>17.35</v>
      </c>
      <c r="R467" s="5" t="s">
        <v>53</v>
      </c>
      <c r="S467" s="5" t="s">
        <v>65</v>
      </c>
      <c r="T467" s="5" t="n">
        <v>30</v>
      </c>
      <c r="U467" s="5" t="s">
        <v>55</v>
      </c>
      <c r="V467" s="5" t="s">
        <v>1389</v>
      </c>
    </row>
    <row r="468" customFormat="false" ht="15" hidden="false" customHeight="false" outlineLevel="0" collapsed="false">
      <c r="A468" s="5" t="n">
        <v>467</v>
      </c>
      <c r="B468" s="5" t="s">
        <v>1390</v>
      </c>
      <c r="C468" s="6" t="s">
        <v>49</v>
      </c>
      <c r="D468" s="5" t="s">
        <v>1391</v>
      </c>
      <c r="E468" s="5" t="s">
        <v>1392</v>
      </c>
      <c r="F468" s="5"/>
      <c r="G468" s="5"/>
      <c r="H468" s="5" t="s">
        <v>1393</v>
      </c>
      <c r="I468" s="5"/>
      <c r="J468" s="7" t="n">
        <v>1697</v>
      </c>
      <c r="K468" s="8" t="n">
        <v>1410</v>
      </c>
      <c r="L468" s="8" t="n">
        <v>63</v>
      </c>
      <c r="M468" s="8" t="n">
        <v>6575</v>
      </c>
      <c r="N468" s="8" t="n">
        <v>290474</v>
      </c>
      <c r="O468" s="5" t="n">
        <v>22.5</v>
      </c>
      <c r="P468" s="9" t="n">
        <v>5.84</v>
      </c>
      <c r="Q468" s="5" t="n">
        <v>0.78</v>
      </c>
      <c r="R468" s="5" t="s">
        <v>95</v>
      </c>
      <c r="S468" s="5" t="s">
        <v>1176</v>
      </c>
      <c r="T468" s="5" t="n">
        <v>92</v>
      </c>
      <c r="U468" s="5" t="s">
        <v>55</v>
      </c>
      <c r="V468" s="5" t="s">
        <v>1394</v>
      </c>
    </row>
    <row r="469" customFormat="false" ht="15" hidden="false" customHeight="false" outlineLevel="0" collapsed="false">
      <c r="A469" s="5" t="n">
        <v>468</v>
      </c>
      <c r="B469" s="5" t="s">
        <v>1395</v>
      </c>
      <c r="C469" s="6" t="s">
        <v>49</v>
      </c>
      <c r="D469" s="5" t="s">
        <v>83</v>
      </c>
      <c r="E469" s="5" t="s">
        <v>84</v>
      </c>
      <c r="F469" s="5" t="s">
        <v>76</v>
      </c>
      <c r="G469" s="5" t="s">
        <v>101</v>
      </c>
      <c r="H469" s="5" t="s">
        <v>1396</v>
      </c>
      <c r="I469" s="5" t="s">
        <v>78</v>
      </c>
      <c r="J469" s="7" t="n">
        <v>1680</v>
      </c>
      <c r="K469" s="8" t="n">
        <v>4600</v>
      </c>
      <c r="L469" s="8" t="n">
        <v>80</v>
      </c>
      <c r="M469" s="8" t="n">
        <v>44173.84</v>
      </c>
      <c r="N469" s="8" t="n">
        <v>827213</v>
      </c>
      <c r="O469" s="5" t="n">
        <v>10.3</v>
      </c>
      <c r="P469" s="9" t="n">
        <v>2.03</v>
      </c>
      <c r="Q469" s="5" t="n">
        <v>0.76</v>
      </c>
      <c r="R469" s="5" t="s">
        <v>53</v>
      </c>
      <c r="S469" s="5" t="s">
        <v>184</v>
      </c>
      <c r="T469" s="5" t="n">
        <v>64</v>
      </c>
      <c r="U469" s="5" t="s">
        <v>80</v>
      </c>
      <c r="V469" s="5" t="s">
        <v>1397</v>
      </c>
    </row>
    <row r="470" customFormat="false" ht="15" hidden="false" customHeight="false" outlineLevel="0" collapsed="false">
      <c r="A470" s="5" t="n">
        <v>469</v>
      </c>
      <c r="B470" s="5" t="s">
        <v>1398</v>
      </c>
      <c r="C470" s="6" t="s">
        <v>49</v>
      </c>
      <c r="D470" s="5" t="s">
        <v>99</v>
      </c>
      <c r="E470" s="5" t="s">
        <v>100</v>
      </c>
      <c r="F470" s="5" t="s">
        <v>76</v>
      </c>
      <c r="G470" s="5" t="s">
        <v>101</v>
      </c>
      <c r="H470" s="5" t="s">
        <v>279</v>
      </c>
      <c r="I470" s="5" t="s">
        <v>94</v>
      </c>
      <c r="J470" s="7" t="n">
        <v>1680</v>
      </c>
      <c r="K470" s="8" t="n">
        <v>6520</v>
      </c>
      <c r="L470" s="8" t="n">
        <v>78</v>
      </c>
      <c r="M470" s="8" t="n">
        <v>19806.63</v>
      </c>
      <c r="N470" s="8" t="n">
        <v>476348</v>
      </c>
      <c r="O470" s="5" t="n">
        <v>19.5</v>
      </c>
      <c r="P470" s="9" t="n">
        <v>3.53</v>
      </c>
      <c r="Q470" s="5" t="n">
        <v>0.38</v>
      </c>
      <c r="R470" s="5" t="s">
        <v>95</v>
      </c>
      <c r="S470" s="5" t="s">
        <v>116</v>
      </c>
      <c r="T470" s="5" t="n">
        <v>126</v>
      </c>
      <c r="U470" s="5" t="s">
        <v>80</v>
      </c>
      <c r="V470" s="5" t="s">
        <v>1399</v>
      </c>
    </row>
    <row r="471" customFormat="false" ht="15" hidden="false" customHeight="false" outlineLevel="0" collapsed="false">
      <c r="A471" s="5" t="n">
        <v>470</v>
      </c>
      <c r="B471" s="5" t="s">
        <v>1400</v>
      </c>
      <c r="C471" s="6" t="s">
        <v>49</v>
      </c>
      <c r="D471" s="5" t="s">
        <v>307</v>
      </c>
      <c r="E471" s="5" t="s">
        <v>308</v>
      </c>
      <c r="F471" s="5"/>
      <c r="G471" s="5"/>
      <c r="H471" s="5" t="s">
        <v>1401</v>
      </c>
      <c r="I471" s="5"/>
      <c r="J471" s="7" t="n">
        <v>1670</v>
      </c>
      <c r="K471" s="8" t="n">
        <v>5990</v>
      </c>
      <c r="L471" s="8" t="n">
        <v>60</v>
      </c>
      <c r="M471" s="8" t="n">
        <v>22935</v>
      </c>
      <c r="N471" s="8" t="n">
        <v>1329336</v>
      </c>
      <c r="O471" s="5" t="n">
        <v>32.1</v>
      </c>
      <c r="P471" s="9" t="n">
        <v>1.26</v>
      </c>
      <c r="Q471" s="5" t="n">
        <v>0.72</v>
      </c>
      <c r="R471" s="5" t="s">
        <v>53</v>
      </c>
      <c r="S471" s="5" t="s">
        <v>86</v>
      </c>
      <c r="T471" s="5" t="n">
        <v>61</v>
      </c>
      <c r="U471" s="5" t="s">
        <v>55</v>
      </c>
      <c r="V471" s="5" t="s">
        <v>1402</v>
      </c>
    </row>
    <row r="472" customFormat="false" ht="15" hidden="false" customHeight="false" outlineLevel="0" collapsed="false">
      <c r="A472" s="5" t="n">
        <v>471</v>
      </c>
      <c r="B472" s="5" t="s">
        <v>1403</v>
      </c>
      <c r="C472" s="6" t="s">
        <v>49</v>
      </c>
      <c r="D472" s="5" t="s">
        <v>50</v>
      </c>
      <c r="E472" s="5" t="s">
        <v>51</v>
      </c>
      <c r="F472" s="5"/>
      <c r="G472" s="5"/>
      <c r="H472" s="5" t="s">
        <v>1404</v>
      </c>
      <c r="I472" s="5"/>
      <c r="J472" s="7" t="n">
        <v>1663</v>
      </c>
      <c r="K472" s="8" t="n">
        <v>13800</v>
      </c>
      <c r="L472" s="8" t="n">
        <v>13</v>
      </c>
      <c r="M472" s="8" t="n">
        <v>147077</v>
      </c>
      <c r="N472" s="8" t="n">
        <v>1672414</v>
      </c>
      <c r="O472" s="5" t="n">
        <v>8.2</v>
      </c>
      <c r="P472" s="9" t="n">
        <v>0.99</v>
      </c>
      <c r="Q472" s="5" t="n">
        <v>14.3</v>
      </c>
      <c r="R472" s="5" t="s">
        <v>53</v>
      </c>
      <c r="S472" s="5" t="s">
        <v>65</v>
      </c>
      <c r="T472" s="5" t="n">
        <v>30</v>
      </c>
      <c r="U472" s="5" t="s">
        <v>55</v>
      </c>
      <c r="V472" s="5" t="s">
        <v>1405</v>
      </c>
    </row>
    <row r="473" customFormat="false" ht="15" hidden="false" customHeight="false" outlineLevel="0" collapsed="false">
      <c r="A473" s="5" t="n">
        <v>472</v>
      </c>
      <c r="B473" s="5" t="s">
        <v>1406</v>
      </c>
      <c r="C473" s="6" t="s">
        <v>49</v>
      </c>
      <c r="D473" s="5" t="s">
        <v>223</v>
      </c>
      <c r="E473" s="5" t="s">
        <v>224</v>
      </c>
      <c r="F473" s="5" t="s">
        <v>76</v>
      </c>
      <c r="G473" s="5" t="s">
        <v>1407</v>
      </c>
      <c r="H473" s="5" t="s">
        <v>93</v>
      </c>
      <c r="I473" s="5" t="s">
        <v>94</v>
      </c>
      <c r="J473" s="7" t="n">
        <v>1649</v>
      </c>
      <c r="K473" s="8" t="n">
        <v>6890</v>
      </c>
      <c r="L473" s="8" t="n">
        <v>39</v>
      </c>
      <c r="M473" s="8" t="n">
        <v>23491.67</v>
      </c>
      <c r="N473" s="8" t="n">
        <v>427628</v>
      </c>
      <c r="O473" s="5" t="n">
        <v>24.1</v>
      </c>
      <c r="P473" s="9" t="n">
        <v>3.86</v>
      </c>
      <c r="Q473" s="5" t="n">
        <v>2.38</v>
      </c>
      <c r="R473" s="5" t="s">
        <v>95</v>
      </c>
      <c r="S473" s="5" t="s">
        <v>79</v>
      </c>
      <c r="T473" s="5" t="n">
        <v>96</v>
      </c>
      <c r="U473" s="5" t="s">
        <v>80</v>
      </c>
      <c r="V473" s="5" t="s">
        <v>1408</v>
      </c>
    </row>
    <row r="474" customFormat="false" ht="15" hidden="false" customHeight="false" outlineLevel="0" collapsed="false">
      <c r="A474" s="5" t="n">
        <v>473</v>
      </c>
      <c r="B474" s="5" t="s">
        <v>1409</v>
      </c>
      <c r="C474" s="6" t="s">
        <v>49</v>
      </c>
      <c r="D474" s="5" t="s">
        <v>515</v>
      </c>
      <c r="E474" s="5" t="s">
        <v>516</v>
      </c>
      <c r="F474" s="5"/>
      <c r="G474" s="5"/>
      <c r="H474" s="5" t="s">
        <v>1410</v>
      </c>
      <c r="I474" s="5"/>
      <c r="J474" s="7" t="n">
        <v>1632</v>
      </c>
      <c r="K474" s="8" t="n">
        <v>3510</v>
      </c>
      <c r="L474" s="8" t="n">
        <v>22</v>
      </c>
      <c r="M474" s="8" t="n">
        <v>68547</v>
      </c>
      <c r="N474" s="8" t="n">
        <v>844167</v>
      </c>
      <c r="O474" s="5" t="n">
        <v>9.8</v>
      </c>
      <c r="P474" s="9" t="n">
        <v>1.93</v>
      </c>
      <c r="Q474" s="5" t="n">
        <v>6.87</v>
      </c>
      <c r="R474" s="5" t="s">
        <v>53</v>
      </c>
      <c r="S474" s="5" t="s">
        <v>86</v>
      </c>
      <c r="T474" s="5" t="n">
        <v>61</v>
      </c>
      <c r="U474" s="5" t="s">
        <v>55</v>
      </c>
      <c r="V474" s="5" t="s">
        <v>1411</v>
      </c>
    </row>
    <row r="475" customFormat="false" ht="15" hidden="false" customHeight="false" outlineLevel="0" collapsed="false">
      <c r="A475" s="5" t="n">
        <v>474</v>
      </c>
      <c r="B475" s="5" t="s">
        <v>1412</v>
      </c>
      <c r="C475" s="6" t="s">
        <v>49</v>
      </c>
      <c r="D475" s="5" t="s">
        <v>1273</v>
      </c>
      <c r="E475" s="5" t="s">
        <v>1274</v>
      </c>
      <c r="F475" s="5" t="s">
        <v>212</v>
      </c>
      <c r="G475" s="5"/>
      <c r="H475" s="5" t="s">
        <v>333</v>
      </c>
      <c r="I475" s="5" t="s">
        <v>94</v>
      </c>
      <c r="J475" s="7" t="n">
        <v>1631</v>
      </c>
      <c r="K475" s="8" t="n">
        <v>3900</v>
      </c>
      <c r="L475" s="8" t="n">
        <v>12</v>
      </c>
      <c r="M475" s="8" t="n">
        <v>43261.08</v>
      </c>
      <c r="N475" s="8" t="n">
        <v>235144</v>
      </c>
      <c r="O475" s="5" t="n">
        <v>51.1</v>
      </c>
      <c r="P475" s="9" t="n">
        <v>6.94</v>
      </c>
      <c r="Q475" s="5" t="n">
        <v>3.56</v>
      </c>
      <c r="R475" s="5" t="s">
        <v>95</v>
      </c>
      <c r="S475" s="5" t="s">
        <v>184</v>
      </c>
      <c r="T475" s="5" t="n">
        <v>64</v>
      </c>
      <c r="U475" s="5" t="s">
        <v>80</v>
      </c>
      <c r="V475" s="5" t="s">
        <v>1413</v>
      </c>
    </row>
    <row r="476" customFormat="false" ht="15" hidden="false" customHeight="false" outlineLevel="0" collapsed="false">
      <c r="A476" s="5" t="n">
        <v>475</v>
      </c>
      <c r="B476" s="5" t="s">
        <v>1414</v>
      </c>
      <c r="C476" s="6" t="s">
        <v>49</v>
      </c>
      <c r="D476" s="5" t="s">
        <v>351</v>
      </c>
      <c r="E476" s="5" t="s">
        <v>352</v>
      </c>
      <c r="F476" s="5" t="s">
        <v>212</v>
      </c>
      <c r="G476" s="5" t="s">
        <v>157</v>
      </c>
      <c r="H476" s="5" t="s">
        <v>771</v>
      </c>
      <c r="I476" s="5" t="s">
        <v>657</v>
      </c>
      <c r="J476" s="7" t="n">
        <v>1630</v>
      </c>
      <c r="K476" s="8" t="n">
        <v>2540</v>
      </c>
      <c r="L476" s="8" t="n">
        <v>48</v>
      </c>
      <c r="M476" s="8" t="n">
        <v>35529.46</v>
      </c>
      <c r="N476" s="8" t="n">
        <v>842852</v>
      </c>
      <c r="O476" s="5" t="n">
        <v>9.2</v>
      </c>
      <c r="P476" s="9" t="n">
        <v>1.93</v>
      </c>
      <c r="Q476" s="5" t="n">
        <v>0.27</v>
      </c>
      <c r="R476" s="5" t="s">
        <v>53</v>
      </c>
      <c r="S476" s="5" t="s">
        <v>375</v>
      </c>
      <c r="T476" s="5" t="n">
        <v>125</v>
      </c>
      <c r="U476" s="5" t="s">
        <v>80</v>
      </c>
      <c r="V476" s="5" t="s">
        <v>1415</v>
      </c>
    </row>
    <row r="477" customFormat="false" ht="15" hidden="false" customHeight="false" outlineLevel="0" collapsed="false">
      <c r="A477" s="5" t="n">
        <v>476</v>
      </c>
      <c r="B477" s="5" t="s">
        <v>1416</v>
      </c>
      <c r="C477" s="6" t="s">
        <v>49</v>
      </c>
      <c r="D477" s="5" t="s">
        <v>187</v>
      </c>
      <c r="E477" s="5" t="s">
        <v>188</v>
      </c>
      <c r="F477" s="5" t="s">
        <v>76</v>
      </c>
      <c r="G477" s="5"/>
      <c r="H477" s="5" t="s">
        <v>440</v>
      </c>
      <c r="I477" s="5" t="s">
        <v>122</v>
      </c>
      <c r="J477" s="7" t="n">
        <v>1616</v>
      </c>
      <c r="K477" s="8" t="n">
        <v>7790</v>
      </c>
      <c r="L477" s="8" t="n">
        <v>9</v>
      </c>
      <c r="M477" s="8" t="n">
        <v>117249.33</v>
      </c>
      <c r="N477" s="8" t="n">
        <v>134574</v>
      </c>
      <c r="O477" s="5" t="n">
        <v>67.1</v>
      </c>
      <c r="P477" s="9" t="n">
        <v>12</v>
      </c>
      <c r="Q477" s="5" t="n">
        <v>2.59</v>
      </c>
      <c r="R477" s="5" t="s">
        <v>95</v>
      </c>
      <c r="S477" s="5" t="s">
        <v>165</v>
      </c>
      <c r="T477" s="5" t="n">
        <v>95</v>
      </c>
      <c r="U477" s="5" t="s">
        <v>80</v>
      </c>
      <c r="V477" s="5" t="s">
        <v>1417</v>
      </c>
    </row>
    <row r="478" customFormat="false" ht="15" hidden="false" customHeight="false" outlineLevel="0" collapsed="false">
      <c r="A478" s="5" t="n">
        <v>477</v>
      </c>
      <c r="B478" s="5" t="s">
        <v>1418</v>
      </c>
      <c r="C478" s="6" t="s">
        <v>49</v>
      </c>
      <c r="D478" s="5" t="s">
        <v>217</v>
      </c>
      <c r="E478" s="5" t="s">
        <v>218</v>
      </c>
      <c r="F478" s="5" t="s">
        <v>76</v>
      </c>
      <c r="G478" s="5" t="s">
        <v>1419</v>
      </c>
      <c r="H478" s="5" t="s">
        <v>220</v>
      </c>
      <c r="I478" s="5" t="s">
        <v>109</v>
      </c>
      <c r="J478" s="7" t="n">
        <v>1615</v>
      </c>
      <c r="K478" s="8" t="n">
        <v>23800</v>
      </c>
      <c r="L478" s="8" t="n">
        <v>18</v>
      </c>
      <c r="M478" s="8" t="n">
        <v>110829.41</v>
      </c>
      <c r="N478" s="8" t="n">
        <v>361224</v>
      </c>
      <c r="O478" s="5" t="n">
        <v>12.1</v>
      </c>
      <c r="P478" s="9" t="n">
        <v>4.47</v>
      </c>
      <c r="Q478" s="5" t="n">
        <v>0.57</v>
      </c>
      <c r="R478" s="5" t="s">
        <v>53</v>
      </c>
      <c r="S478" s="5" t="s">
        <v>79</v>
      </c>
      <c r="T478" s="5" t="n">
        <v>96</v>
      </c>
      <c r="U478" s="5" t="s">
        <v>80</v>
      </c>
      <c r="V478" s="5" t="s">
        <v>1420</v>
      </c>
    </row>
    <row r="479" customFormat="false" ht="15" hidden="false" customHeight="false" outlineLevel="0" collapsed="false">
      <c r="A479" s="5" t="n">
        <v>478</v>
      </c>
      <c r="B479" s="5" t="s">
        <v>1421</v>
      </c>
      <c r="C479" s="6" t="s">
        <v>49</v>
      </c>
      <c r="D479" s="5" t="s">
        <v>575</v>
      </c>
      <c r="E479" s="5" t="s">
        <v>576</v>
      </c>
      <c r="F479" s="5" t="s">
        <v>212</v>
      </c>
      <c r="G479" s="5" t="s">
        <v>219</v>
      </c>
      <c r="H479" s="5" t="s">
        <v>412</v>
      </c>
      <c r="I479" s="5" t="s">
        <v>78</v>
      </c>
      <c r="J479" s="7" t="n">
        <v>1569</v>
      </c>
      <c r="K479" s="8" t="n">
        <v>12200</v>
      </c>
      <c r="L479" s="8" t="n">
        <v>78</v>
      </c>
      <c r="M479" s="8" t="n">
        <v>41390.99</v>
      </c>
      <c r="N479" s="8" t="n">
        <v>811195</v>
      </c>
      <c r="O479" s="5" t="n">
        <v>45.6</v>
      </c>
      <c r="P479" s="9" t="n">
        <v>1.93</v>
      </c>
      <c r="Q479" s="5" t="n">
        <v>0.36</v>
      </c>
      <c r="R479" s="5" t="s">
        <v>53</v>
      </c>
      <c r="S479" s="5" t="s">
        <v>184</v>
      </c>
      <c r="T479" s="5" t="n">
        <v>64</v>
      </c>
      <c r="U479" s="5" t="s">
        <v>80</v>
      </c>
      <c r="V479" s="5" t="s">
        <v>1422</v>
      </c>
    </row>
    <row r="480" customFormat="false" ht="15" hidden="false" customHeight="false" outlineLevel="0" collapsed="false">
      <c r="A480" s="5" t="n">
        <v>479</v>
      </c>
      <c r="B480" s="5" t="s">
        <v>1423</v>
      </c>
      <c r="C480" s="6" t="s">
        <v>49</v>
      </c>
      <c r="D480" s="5" t="s">
        <v>170</v>
      </c>
      <c r="E480" s="5" t="s">
        <v>171</v>
      </c>
      <c r="F480" s="5" t="s">
        <v>76</v>
      </c>
      <c r="G480" s="5" t="s">
        <v>101</v>
      </c>
      <c r="H480" s="5" t="s">
        <v>115</v>
      </c>
      <c r="I480" s="5" t="s">
        <v>94</v>
      </c>
      <c r="J480" s="7" t="n">
        <v>1567</v>
      </c>
      <c r="K480" s="8" t="n">
        <v>18200</v>
      </c>
      <c r="L480" s="8" t="n">
        <v>52</v>
      </c>
      <c r="M480" s="8" t="n">
        <v>66662.52</v>
      </c>
      <c r="N480" s="8" t="n">
        <v>650322</v>
      </c>
      <c r="O480" s="5" t="n">
        <v>38</v>
      </c>
      <c r="P480" s="9" t="n">
        <v>2.41</v>
      </c>
      <c r="Q480" s="5" t="n">
        <v>1.2</v>
      </c>
      <c r="R480" s="5" t="s">
        <v>95</v>
      </c>
      <c r="S480" s="5" t="s">
        <v>116</v>
      </c>
      <c r="T480" s="5" t="n">
        <v>126</v>
      </c>
      <c r="U480" s="5" t="s">
        <v>80</v>
      </c>
      <c r="V480" s="5" t="s">
        <v>1424</v>
      </c>
    </row>
    <row r="481" customFormat="false" ht="15" hidden="false" customHeight="false" outlineLevel="0" collapsed="false">
      <c r="A481" s="5" t="n">
        <v>480</v>
      </c>
      <c r="B481" s="5" t="s">
        <v>1425</v>
      </c>
      <c r="C481" s="6" t="s">
        <v>49</v>
      </c>
      <c r="D481" s="5" t="s">
        <v>337</v>
      </c>
      <c r="E481" s="5" t="s">
        <v>338</v>
      </c>
      <c r="F481" s="5" t="s">
        <v>76</v>
      </c>
      <c r="G481" s="5"/>
      <c r="H481" s="5" t="s">
        <v>339</v>
      </c>
      <c r="I481" s="5" t="s">
        <v>94</v>
      </c>
      <c r="J481" s="7" t="n">
        <v>1565</v>
      </c>
      <c r="K481" s="8" t="n">
        <v>3030</v>
      </c>
      <c r="L481" s="8" t="n">
        <v>105</v>
      </c>
      <c r="M481" s="8" t="n">
        <v>7159.74</v>
      </c>
      <c r="N481" s="8" t="n">
        <v>180844</v>
      </c>
      <c r="O481" s="5" t="n">
        <v>42.3</v>
      </c>
      <c r="P481" s="9" t="n">
        <v>8.66</v>
      </c>
      <c r="Q481" s="5" t="n">
        <v>0.65</v>
      </c>
      <c r="R481" s="5" t="s">
        <v>53</v>
      </c>
      <c r="S481" s="5" t="s">
        <v>375</v>
      </c>
      <c r="T481" s="5" t="n">
        <v>125</v>
      </c>
      <c r="U481" s="5" t="s">
        <v>80</v>
      </c>
      <c r="V481" s="5" t="s">
        <v>1426</v>
      </c>
    </row>
    <row r="482" customFormat="false" ht="15" hidden="false" customHeight="false" outlineLevel="0" collapsed="false">
      <c r="A482" s="5" t="n">
        <v>481</v>
      </c>
      <c r="B482" s="5" t="s">
        <v>1427</v>
      </c>
      <c r="C482" s="6" t="s">
        <v>49</v>
      </c>
      <c r="D482" s="5" t="s">
        <v>274</v>
      </c>
      <c r="E482" s="5" t="s">
        <v>275</v>
      </c>
      <c r="F482" s="5" t="s">
        <v>91</v>
      </c>
      <c r="G482" s="5" t="s">
        <v>92</v>
      </c>
      <c r="H482" s="5" t="s">
        <v>131</v>
      </c>
      <c r="I482" s="5" t="s">
        <v>78</v>
      </c>
      <c r="J482" s="7" t="n">
        <v>1559</v>
      </c>
      <c r="K482" s="8" t="n">
        <v>5140</v>
      </c>
      <c r="L482" s="8" t="n">
        <v>38</v>
      </c>
      <c r="M482" s="8" t="n">
        <v>86807.84</v>
      </c>
      <c r="N482" s="8" t="n">
        <v>492368</v>
      </c>
      <c r="O482" s="5" t="n">
        <v>15.1</v>
      </c>
      <c r="P482" s="9" t="n">
        <v>3.17</v>
      </c>
      <c r="Q482" s="5" t="n">
        <v>8.06</v>
      </c>
      <c r="R482" s="5" t="s">
        <v>53</v>
      </c>
      <c r="S482" s="5" t="s">
        <v>1428</v>
      </c>
      <c r="T482" s="5" t="n">
        <v>123</v>
      </c>
      <c r="U482" s="5" t="s">
        <v>80</v>
      </c>
      <c r="V482" s="5" t="s">
        <v>1429</v>
      </c>
    </row>
    <row r="483" customFormat="false" ht="15" hidden="false" customHeight="false" outlineLevel="0" collapsed="false">
      <c r="A483" s="5" t="n">
        <v>482</v>
      </c>
      <c r="B483" s="5" t="s">
        <v>1430</v>
      </c>
      <c r="C483" s="6" t="s">
        <v>49</v>
      </c>
      <c r="D483" s="5" t="s">
        <v>418</v>
      </c>
      <c r="E483" s="5" t="s">
        <v>419</v>
      </c>
      <c r="F483" s="5"/>
      <c r="G483" s="5"/>
      <c r="H483" s="5" t="s">
        <v>1431</v>
      </c>
      <c r="I483" s="5"/>
      <c r="J483" s="7" t="n">
        <v>1543</v>
      </c>
      <c r="K483" s="8" t="n">
        <v>2470</v>
      </c>
      <c r="L483" s="8" t="n">
        <v>46</v>
      </c>
      <c r="M483" s="8" t="n">
        <v>12554</v>
      </c>
      <c r="N483" s="8" t="n">
        <v>484491</v>
      </c>
      <c r="O483" s="5" t="n">
        <v>14.2</v>
      </c>
      <c r="P483" s="9" t="n">
        <v>3.18</v>
      </c>
      <c r="Q483" s="5" t="n">
        <v>2.24</v>
      </c>
      <c r="R483" s="5" t="s">
        <v>95</v>
      </c>
      <c r="S483" s="5" t="s">
        <v>65</v>
      </c>
      <c r="T483" s="5" t="n">
        <v>30</v>
      </c>
      <c r="U483" s="5" t="s">
        <v>55</v>
      </c>
      <c r="V483" s="5" t="s">
        <v>1432</v>
      </c>
    </row>
    <row r="484" customFormat="false" ht="15" hidden="false" customHeight="false" outlineLevel="0" collapsed="false">
      <c r="A484" s="5" t="n">
        <v>483</v>
      </c>
      <c r="B484" s="5" t="s">
        <v>1433</v>
      </c>
      <c r="C484" s="6" t="s">
        <v>49</v>
      </c>
      <c r="D484" s="5" t="s">
        <v>844</v>
      </c>
      <c r="E484" s="5" t="s">
        <v>845</v>
      </c>
      <c r="F484" s="5" t="s">
        <v>212</v>
      </c>
      <c r="G484" s="5" t="s">
        <v>213</v>
      </c>
      <c r="H484" s="5" t="s">
        <v>131</v>
      </c>
      <c r="I484" s="5" t="s">
        <v>94</v>
      </c>
      <c r="J484" s="7" t="n">
        <v>1540</v>
      </c>
      <c r="K484" s="8" t="n">
        <v>9360</v>
      </c>
      <c r="L484" s="8" t="n">
        <v>68</v>
      </c>
      <c r="M484" s="8" t="n">
        <v>26093.19</v>
      </c>
      <c r="N484" s="8" t="n">
        <v>796543</v>
      </c>
      <c r="O484" s="5" t="n">
        <v>29.3</v>
      </c>
      <c r="P484" s="9" t="n">
        <v>1.93</v>
      </c>
      <c r="Q484" s="5" t="n">
        <v>1.75</v>
      </c>
      <c r="R484" s="5" t="s">
        <v>95</v>
      </c>
      <c r="S484" s="5" t="s">
        <v>184</v>
      </c>
      <c r="T484" s="5" t="n">
        <v>64</v>
      </c>
      <c r="U484" s="5" t="s">
        <v>80</v>
      </c>
      <c r="V484" s="5" t="s">
        <v>1434</v>
      </c>
    </row>
    <row r="485" customFormat="false" ht="15" hidden="false" customHeight="false" outlineLevel="0" collapsed="false">
      <c r="A485" s="5" t="n">
        <v>484</v>
      </c>
      <c r="B485" s="5" t="s">
        <v>1435</v>
      </c>
      <c r="C485" s="6" t="s">
        <v>49</v>
      </c>
      <c r="D485" s="5" t="s">
        <v>83</v>
      </c>
      <c r="E485" s="5" t="s">
        <v>84</v>
      </c>
      <c r="F485" s="5" t="s">
        <v>76</v>
      </c>
      <c r="G485" s="5" t="s">
        <v>324</v>
      </c>
      <c r="H485" s="5" t="s">
        <v>656</v>
      </c>
      <c r="I485" s="5" t="s">
        <v>94</v>
      </c>
      <c r="J485" s="7" t="n">
        <v>1535</v>
      </c>
      <c r="K485" s="8" t="n">
        <v>2730</v>
      </c>
      <c r="L485" s="8" t="n">
        <v>59</v>
      </c>
      <c r="M485" s="8" t="n">
        <v>21899.27</v>
      </c>
      <c r="N485" s="8" t="n">
        <v>559033</v>
      </c>
      <c r="O485" s="5" t="n">
        <v>14.1</v>
      </c>
      <c r="P485" s="9" t="n">
        <v>2.75</v>
      </c>
      <c r="Q485" s="5" t="n">
        <v>2.15</v>
      </c>
      <c r="R485" s="5" t="s">
        <v>53</v>
      </c>
      <c r="S485" s="5" t="s">
        <v>116</v>
      </c>
      <c r="T485" s="5" t="n">
        <v>126</v>
      </c>
      <c r="U485" s="5" t="s">
        <v>80</v>
      </c>
      <c r="V485" s="5" t="s">
        <v>1436</v>
      </c>
    </row>
    <row r="486" customFormat="false" ht="15" hidden="false" customHeight="false" outlineLevel="0" collapsed="false">
      <c r="A486" s="5" t="n">
        <v>485</v>
      </c>
      <c r="B486" s="5" t="s">
        <v>1437</v>
      </c>
      <c r="C486" s="6" t="s">
        <v>49</v>
      </c>
      <c r="D486" s="5" t="s">
        <v>792</v>
      </c>
      <c r="E486" s="5" t="s">
        <v>793</v>
      </c>
      <c r="F486" s="5"/>
      <c r="G486" s="5"/>
      <c r="H486" s="5" t="s">
        <v>1438</v>
      </c>
      <c r="I486" s="5"/>
      <c r="J486" s="7" t="n">
        <v>1520</v>
      </c>
      <c r="K486" s="8" t="n">
        <v>13400</v>
      </c>
      <c r="L486" s="8" t="n">
        <v>74</v>
      </c>
      <c r="M486" s="8" t="n">
        <v>19581</v>
      </c>
      <c r="N486" s="8" t="n">
        <v>783719</v>
      </c>
      <c r="O486" s="5" t="n">
        <v>19.8</v>
      </c>
      <c r="P486" s="9" t="n">
        <v>1.94</v>
      </c>
      <c r="Q486" s="5" t="n">
        <v>0.08</v>
      </c>
      <c r="R486" s="5" t="s">
        <v>95</v>
      </c>
      <c r="S486" s="5" t="s">
        <v>61</v>
      </c>
      <c r="T486" s="5" t="n">
        <v>122</v>
      </c>
      <c r="U486" s="5" t="s">
        <v>55</v>
      </c>
      <c r="V486" s="5" t="s">
        <v>1439</v>
      </c>
    </row>
    <row r="487" customFormat="false" ht="15" hidden="false" customHeight="false" outlineLevel="0" collapsed="false">
      <c r="A487" s="5" t="n">
        <v>486</v>
      </c>
      <c r="B487" s="5" t="s">
        <v>1440</v>
      </c>
      <c r="C487" s="6" t="s">
        <v>49</v>
      </c>
      <c r="D487" s="5" t="s">
        <v>89</v>
      </c>
      <c r="E487" s="5" t="s">
        <v>90</v>
      </c>
      <c r="F487" s="5" t="s">
        <v>156</v>
      </c>
      <c r="G487" s="5"/>
      <c r="H487" s="5" t="s">
        <v>93</v>
      </c>
      <c r="I487" s="5" t="s">
        <v>94</v>
      </c>
      <c r="J487" s="7" t="n">
        <v>1519</v>
      </c>
      <c r="K487" s="8" t="n">
        <v>10500</v>
      </c>
      <c r="L487" s="8" t="n">
        <v>58</v>
      </c>
      <c r="M487" s="8" t="n">
        <v>21008.53</v>
      </c>
      <c r="N487" s="8" t="n">
        <v>497895</v>
      </c>
      <c r="O487" s="5" t="n">
        <v>22.5</v>
      </c>
      <c r="P487" s="9" t="n">
        <v>3.05</v>
      </c>
      <c r="Q487" s="5" t="n">
        <v>0.84</v>
      </c>
      <c r="R487" s="5" t="s">
        <v>53</v>
      </c>
      <c r="S487" s="5" t="s">
        <v>184</v>
      </c>
      <c r="T487" s="5" t="n">
        <v>64</v>
      </c>
      <c r="U487" s="5" t="s">
        <v>80</v>
      </c>
      <c r="V487" s="5" t="s">
        <v>1441</v>
      </c>
    </row>
    <row r="488" customFormat="false" ht="15" hidden="false" customHeight="false" outlineLevel="0" collapsed="false">
      <c r="A488" s="5" t="n">
        <v>487</v>
      </c>
      <c r="B488" s="5" t="s">
        <v>1442</v>
      </c>
      <c r="C488" s="6" t="s">
        <v>49</v>
      </c>
      <c r="D488" s="5" t="s">
        <v>83</v>
      </c>
      <c r="E488" s="5" t="s">
        <v>84</v>
      </c>
      <c r="F488" s="5" t="s">
        <v>76</v>
      </c>
      <c r="G488" s="5"/>
      <c r="H488" s="5" t="s">
        <v>656</v>
      </c>
      <c r="I488" s="5" t="s">
        <v>94</v>
      </c>
      <c r="J488" s="7" t="n">
        <v>1509</v>
      </c>
      <c r="K488" s="8" t="n">
        <v>3180</v>
      </c>
      <c r="L488" s="8" t="n">
        <v>73</v>
      </c>
      <c r="M488" s="8" t="n">
        <v>22639.55</v>
      </c>
      <c r="N488" s="8" t="n">
        <v>287306</v>
      </c>
      <c r="O488" s="5" t="n">
        <v>23.1</v>
      </c>
      <c r="P488" s="9" t="n">
        <v>5.25</v>
      </c>
      <c r="Q488" s="5" t="n">
        <v>1.56</v>
      </c>
      <c r="R488" s="5" t="s">
        <v>53</v>
      </c>
      <c r="S488" s="5" t="s">
        <v>116</v>
      </c>
      <c r="T488" s="5" t="n">
        <v>126</v>
      </c>
      <c r="U488" s="5" t="s">
        <v>80</v>
      </c>
      <c r="V488" s="5" t="s">
        <v>1443</v>
      </c>
    </row>
    <row r="489" customFormat="false" ht="15" hidden="false" customHeight="false" outlineLevel="0" collapsed="false">
      <c r="A489" s="5" t="n">
        <v>488</v>
      </c>
      <c r="B489" s="5" t="s">
        <v>1444</v>
      </c>
      <c r="C489" s="6" t="s">
        <v>49</v>
      </c>
      <c r="D489" s="5" t="s">
        <v>399</v>
      </c>
      <c r="E489" s="5" t="s">
        <v>400</v>
      </c>
      <c r="F489" s="5"/>
      <c r="G489" s="5"/>
      <c r="H489" s="5" t="s">
        <v>1445</v>
      </c>
      <c r="I489" s="5"/>
      <c r="J489" s="7" t="n">
        <v>1503</v>
      </c>
      <c r="K489" s="8" t="n">
        <v>3830</v>
      </c>
      <c r="L489" s="8" t="n">
        <v>43</v>
      </c>
      <c r="M489" s="8" t="n">
        <v>11442</v>
      </c>
      <c r="N489" s="8" t="n">
        <v>331998</v>
      </c>
      <c r="O489" s="5" t="n">
        <v>294.1</v>
      </c>
      <c r="P489" s="9" t="n">
        <v>4.53</v>
      </c>
      <c r="Q489" s="5" t="n">
        <v>2.74</v>
      </c>
      <c r="R489" s="5" t="s">
        <v>95</v>
      </c>
      <c r="S489" s="5" t="s">
        <v>65</v>
      </c>
      <c r="T489" s="5" t="n">
        <v>30</v>
      </c>
      <c r="U489" s="5" t="s">
        <v>55</v>
      </c>
      <c r="V489" s="5" t="s">
        <v>1446</v>
      </c>
    </row>
    <row r="490" customFormat="false" ht="15" hidden="false" customHeight="false" outlineLevel="0" collapsed="false">
      <c r="A490" s="5" t="n">
        <v>489</v>
      </c>
      <c r="B490" s="5" t="s">
        <v>1447</v>
      </c>
      <c r="C490" s="6" t="s">
        <v>49</v>
      </c>
      <c r="D490" s="5" t="s">
        <v>351</v>
      </c>
      <c r="E490" s="5" t="s">
        <v>352</v>
      </c>
      <c r="F490" s="5" t="s">
        <v>76</v>
      </c>
      <c r="G490" s="5" t="s">
        <v>101</v>
      </c>
      <c r="H490" s="5" t="s">
        <v>353</v>
      </c>
      <c r="I490" s="5" t="s">
        <v>78</v>
      </c>
      <c r="J490" s="7" t="n">
        <v>1492</v>
      </c>
      <c r="K490" s="8" t="n">
        <v>2070</v>
      </c>
      <c r="L490" s="8" t="n">
        <v>61</v>
      </c>
      <c r="M490" s="8" t="n">
        <v>16561.84</v>
      </c>
      <c r="N490" s="8" t="n">
        <v>436040</v>
      </c>
      <c r="O490" s="5" t="n">
        <v>18.5</v>
      </c>
      <c r="P490" s="9" t="n">
        <v>3.42</v>
      </c>
      <c r="Q490" s="5" t="n">
        <v>0.29</v>
      </c>
      <c r="R490" s="5" t="s">
        <v>53</v>
      </c>
      <c r="S490" s="5" t="s">
        <v>375</v>
      </c>
      <c r="T490" s="5" t="n">
        <v>125</v>
      </c>
      <c r="U490" s="5" t="s">
        <v>80</v>
      </c>
      <c r="V490" s="5" t="s">
        <v>1448</v>
      </c>
    </row>
    <row r="491" customFormat="false" ht="15" hidden="false" customHeight="false" outlineLevel="0" collapsed="false">
      <c r="A491" s="5" t="n">
        <v>490</v>
      </c>
      <c r="B491" s="5" t="s">
        <v>1449</v>
      </c>
      <c r="C491" s="6" t="s">
        <v>49</v>
      </c>
      <c r="D491" s="5" t="s">
        <v>792</v>
      </c>
      <c r="E491" s="5" t="s">
        <v>793</v>
      </c>
      <c r="F491" s="5" t="s">
        <v>156</v>
      </c>
      <c r="G491" s="5" t="s">
        <v>157</v>
      </c>
      <c r="H491" s="5" t="s">
        <v>121</v>
      </c>
      <c r="I491" s="5" t="s">
        <v>109</v>
      </c>
      <c r="J491" s="7" t="n">
        <v>1482</v>
      </c>
      <c r="K491" s="8" t="n">
        <v>14500</v>
      </c>
      <c r="L491" s="8" t="n">
        <v>68</v>
      </c>
      <c r="M491" s="8" t="n">
        <v>15902.9</v>
      </c>
      <c r="N491" s="8" t="n">
        <v>485768</v>
      </c>
      <c r="O491" s="5" t="n">
        <v>30.6</v>
      </c>
      <c r="P491" s="9" t="n">
        <v>3.05</v>
      </c>
      <c r="Q491" s="5" t="n">
        <v>0.55</v>
      </c>
      <c r="R491" s="5" t="s">
        <v>53</v>
      </c>
      <c r="S491" s="5" t="s">
        <v>184</v>
      </c>
      <c r="T491" s="5" t="n">
        <v>64</v>
      </c>
      <c r="U491" s="5" t="s">
        <v>80</v>
      </c>
      <c r="V491" s="5" t="s">
        <v>1450</v>
      </c>
    </row>
    <row r="492" customFormat="false" ht="15" hidden="false" customHeight="false" outlineLevel="0" collapsed="false">
      <c r="A492" s="5" t="n">
        <v>491</v>
      </c>
      <c r="B492" s="5" t="s">
        <v>1451</v>
      </c>
      <c r="C492" s="6" t="s">
        <v>49</v>
      </c>
      <c r="D492" s="5" t="s">
        <v>270</v>
      </c>
      <c r="E492" s="5" t="s">
        <v>271</v>
      </c>
      <c r="F492" s="5" t="s">
        <v>76</v>
      </c>
      <c r="G492" s="5" t="s">
        <v>101</v>
      </c>
      <c r="H492" s="5" t="s">
        <v>214</v>
      </c>
      <c r="I492" s="5" t="s">
        <v>94</v>
      </c>
      <c r="J492" s="7" t="n">
        <v>1480</v>
      </c>
      <c r="K492" s="8" t="n">
        <v>13300</v>
      </c>
      <c r="L492" s="8" t="n">
        <v>68</v>
      </c>
      <c r="M492" s="8" t="n">
        <v>40980.62</v>
      </c>
      <c r="N492" s="8" t="n">
        <v>1050647</v>
      </c>
      <c r="O492" s="5" t="n">
        <v>22.2</v>
      </c>
      <c r="P492" s="9" t="n">
        <v>1.41</v>
      </c>
      <c r="Q492" s="5" t="n">
        <v>1.08</v>
      </c>
      <c r="R492" s="5" t="s">
        <v>53</v>
      </c>
      <c r="S492" s="5" t="s">
        <v>79</v>
      </c>
      <c r="T492" s="5" t="n">
        <v>96</v>
      </c>
      <c r="U492" s="5" t="s">
        <v>80</v>
      </c>
      <c r="V492" s="5" t="s">
        <v>1452</v>
      </c>
    </row>
    <row r="493" customFormat="false" ht="15" hidden="false" customHeight="false" outlineLevel="0" collapsed="false">
      <c r="A493" s="5" t="n">
        <v>492</v>
      </c>
      <c r="B493" s="5" t="s">
        <v>1453</v>
      </c>
      <c r="C493" s="6" t="s">
        <v>49</v>
      </c>
      <c r="D493" s="5" t="s">
        <v>448</v>
      </c>
      <c r="E493" s="5" t="s">
        <v>449</v>
      </c>
      <c r="F493" s="5" t="s">
        <v>76</v>
      </c>
      <c r="G493" s="5" t="s">
        <v>101</v>
      </c>
      <c r="H493" s="5" t="s">
        <v>121</v>
      </c>
      <c r="I493" s="5" t="s">
        <v>1050</v>
      </c>
      <c r="J493" s="7" t="n">
        <v>1479</v>
      </c>
      <c r="K493" s="8" t="n">
        <v>4430</v>
      </c>
      <c r="L493" s="8" t="n">
        <v>27</v>
      </c>
      <c r="M493" s="8" t="n">
        <v>22540.74</v>
      </c>
      <c r="N493" s="8" t="n">
        <v>279716</v>
      </c>
      <c r="O493" s="5" t="n">
        <v>89.3</v>
      </c>
      <c r="P493" s="9" t="n">
        <v>5.29</v>
      </c>
      <c r="Q493" s="5" t="n">
        <v>3.82</v>
      </c>
      <c r="R493" s="5" t="s">
        <v>53</v>
      </c>
      <c r="S493" s="5" t="s">
        <v>116</v>
      </c>
      <c r="T493" s="5" t="n">
        <v>126</v>
      </c>
      <c r="U493" s="5" t="s">
        <v>80</v>
      </c>
      <c r="V493" s="5" t="s">
        <v>1454</v>
      </c>
    </row>
    <row r="494" customFormat="false" ht="15" hidden="false" customHeight="false" outlineLevel="0" collapsed="false">
      <c r="A494" s="5" t="n">
        <v>493</v>
      </c>
      <c r="B494" s="5" t="s">
        <v>1455</v>
      </c>
      <c r="C494" s="6" t="s">
        <v>49</v>
      </c>
      <c r="D494" s="5" t="s">
        <v>129</v>
      </c>
      <c r="E494" s="5" t="s">
        <v>130</v>
      </c>
      <c r="F494" s="5" t="s">
        <v>76</v>
      </c>
      <c r="G494" s="5"/>
      <c r="H494" s="5" t="s">
        <v>131</v>
      </c>
      <c r="I494" s="5" t="s">
        <v>122</v>
      </c>
      <c r="J494" s="7" t="n">
        <v>1475</v>
      </c>
      <c r="K494" s="8" t="n">
        <v>11000</v>
      </c>
      <c r="L494" s="8" t="n">
        <v>67</v>
      </c>
      <c r="M494" s="8" t="n">
        <v>22956.38</v>
      </c>
      <c r="N494" s="8" t="n">
        <v>258108</v>
      </c>
      <c r="O494" s="5" t="n">
        <v>30.5</v>
      </c>
      <c r="P494" s="9" t="n">
        <v>5.72</v>
      </c>
      <c r="Q494" s="5" t="n">
        <v>0.6</v>
      </c>
      <c r="R494" s="5" t="s">
        <v>95</v>
      </c>
      <c r="S494" s="5" t="s">
        <v>79</v>
      </c>
      <c r="T494" s="5" t="n">
        <v>96</v>
      </c>
      <c r="U494" s="5" t="s">
        <v>80</v>
      </c>
      <c r="V494" s="5" t="s">
        <v>1456</v>
      </c>
    </row>
    <row r="495" customFormat="false" ht="15" hidden="false" customHeight="false" outlineLevel="0" collapsed="false">
      <c r="A495" s="5" t="n">
        <v>494</v>
      </c>
      <c r="B495" s="5" t="s">
        <v>1457</v>
      </c>
      <c r="C495" s="6" t="s">
        <v>49</v>
      </c>
      <c r="D495" s="5" t="s">
        <v>200</v>
      </c>
      <c r="E495" s="5" t="s">
        <v>201</v>
      </c>
      <c r="F495" s="5" t="s">
        <v>91</v>
      </c>
      <c r="G495" s="5" t="s">
        <v>92</v>
      </c>
      <c r="H495" s="5" t="s">
        <v>957</v>
      </c>
      <c r="I495" s="5" t="s">
        <v>78</v>
      </c>
      <c r="J495" s="7" t="n">
        <v>1466</v>
      </c>
      <c r="K495" s="8" t="n">
        <v>2320</v>
      </c>
      <c r="L495" s="8" t="n">
        <v>42</v>
      </c>
      <c r="M495" s="8" t="n">
        <v>27814.57</v>
      </c>
      <c r="N495" s="8" t="n">
        <v>311660</v>
      </c>
      <c r="O495" s="5" t="n">
        <v>10.7</v>
      </c>
      <c r="P495" s="9" t="n">
        <v>4.7</v>
      </c>
      <c r="Q495" s="5" t="n">
        <v>3.24</v>
      </c>
      <c r="R495" s="5" t="s">
        <v>53</v>
      </c>
      <c r="S495" s="5" t="s">
        <v>110</v>
      </c>
      <c r="T495" s="5" t="n">
        <v>34</v>
      </c>
      <c r="U495" s="5" t="s">
        <v>80</v>
      </c>
      <c r="V495" s="5" t="s">
        <v>1458</v>
      </c>
    </row>
    <row r="496" customFormat="false" ht="15" hidden="false" customHeight="false" outlineLevel="0" collapsed="false">
      <c r="A496" s="5" t="n">
        <v>495</v>
      </c>
      <c r="B496" s="5" t="s">
        <v>1459</v>
      </c>
      <c r="C496" s="6" t="s">
        <v>49</v>
      </c>
      <c r="D496" s="5" t="s">
        <v>554</v>
      </c>
      <c r="E496" s="5" t="s">
        <v>555</v>
      </c>
      <c r="F496" s="5" t="s">
        <v>76</v>
      </c>
      <c r="G496" s="5" t="s">
        <v>101</v>
      </c>
      <c r="H496" s="5" t="s">
        <v>93</v>
      </c>
      <c r="I496" s="5" t="s">
        <v>94</v>
      </c>
      <c r="J496" s="7" t="n">
        <v>1461</v>
      </c>
      <c r="K496" s="8" t="n">
        <v>5450</v>
      </c>
      <c r="L496" s="8" t="n">
        <v>42</v>
      </c>
      <c r="M496" s="8" t="n">
        <v>16627.74</v>
      </c>
      <c r="N496" s="8" t="n">
        <v>318009</v>
      </c>
      <c r="O496" s="5" t="n">
        <v>44.6</v>
      </c>
      <c r="P496" s="9" t="n">
        <v>4.59</v>
      </c>
      <c r="Q496" s="5" t="n">
        <v>2.57</v>
      </c>
      <c r="R496" s="5" t="s">
        <v>95</v>
      </c>
      <c r="S496" s="5" t="s">
        <v>79</v>
      </c>
      <c r="T496" s="5" t="n">
        <v>96</v>
      </c>
      <c r="U496" s="5" t="s">
        <v>80</v>
      </c>
      <c r="V496" s="5" t="s">
        <v>1460</v>
      </c>
    </row>
    <row r="497" customFormat="false" ht="15" hidden="false" customHeight="false" outlineLevel="0" collapsed="false">
      <c r="A497" s="5" t="n">
        <v>496</v>
      </c>
      <c r="B497" s="5" t="s">
        <v>1461</v>
      </c>
      <c r="C497" s="6" t="s">
        <v>49</v>
      </c>
      <c r="D497" s="5" t="s">
        <v>83</v>
      </c>
      <c r="E497" s="5" t="s">
        <v>84</v>
      </c>
      <c r="F497" s="5" t="s">
        <v>212</v>
      </c>
      <c r="G497" s="5" t="s">
        <v>213</v>
      </c>
      <c r="H497" s="5" t="s">
        <v>1462</v>
      </c>
      <c r="I497" s="5" t="s">
        <v>94</v>
      </c>
      <c r="J497" s="7" t="n">
        <v>1454</v>
      </c>
      <c r="K497" s="8" t="n">
        <v>3030</v>
      </c>
      <c r="L497" s="8" t="n">
        <v>26</v>
      </c>
      <c r="M497" s="8" t="n">
        <v>55050</v>
      </c>
      <c r="N497" s="8" t="n">
        <v>556905</v>
      </c>
      <c r="O497" s="5" t="n">
        <v>23.7</v>
      </c>
      <c r="P497" s="9" t="n">
        <v>2.61</v>
      </c>
      <c r="Q497" s="5" t="n">
        <v>8.38</v>
      </c>
      <c r="R497" s="5" t="s">
        <v>53</v>
      </c>
      <c r="S497" s="5" t="s">
        <v>165</v>
      </c>
      <c r="T497" s="5" t="n">
        <v>95</v>
      </c>
      <c r="U497" s="5" t="s">
        <v>80</v>
      </c>
      <c r="V497" s="5" t="s">
        <v>1463</v>
      </c>
    </row>
    <row r="498" customFormat="false" ht="15" hidden="false" customHeight="false" outlineLevel="0" collapsed="false">
      <c r="A498" s="5" t="n">
        <v>497</v>
      </c>
      <c r="B498" s="5" t="s">
        <v>1464</v>
      </c>
      <c r="C498" s="6" t="s">
        <v>49</v>
      </c>
      <c r="D498" s="5" t="s">
        <v>89</v>
      </c>
      <c r="E498" s="5" t="s">
        <v>90</v>
      </c>
      <c r="F498" s="5" t="s">
        <v>76</v>
      </c>
      <c r="G498" s="5" t="s">
        <v>101</v>
      </c>
      <c r="H498" s="5" t="s">
        <v>93</v>
      </c>
      <c r="I498" s="5" t="s">
        <v>256</v>
      </c>
      <c r="J498" s="7" t="n">
        <v>1442</v>
      </c>
      <c r="K498" s="8" t="n">
        <v>19800</v>
      </c>
      <c r="L498" s="8" t="n">
        <v>1</v>
      </c>
      <c r="M498" s="8" t="n">
        <v>1700000</v>
      </c>
      <c r="N498" s="8" t="n">
        <v>268278</v>
      </c>
      <c r="O498" s="5" t="n">
        <v>19.7</v>
      </c>
      <c r="P498" s="9" t="n">
        <v>5.38</v>
      </c>
      <c r="Q498" s="5" t="n">
        <v>170</v>
      </c>
      <c r="R498" s="5" t="s">
        <v>53</v>
      </c>
      <c r="S498" s="5" t="s">
        <v>165</v>
      </c>
      <c r="T498" s="5" t="n">
        <v>95</v>
      </c>
      <c r="U498" s="5" t="s">
        <v>80</v>
      </c>
      <c r="V498" s="5" t="s">
        <v>1465</v>
      </c>
    </row>
    <row r="499" customFormat="false" ht="15" hidden="false" customHeight="false" outlineLevel="0" collapsed="false">
      <c r="A499" s="5" t="n">
        <v>498</v>
      </c>
      <c r="B499" s="5" t="s">
        <v>1466</v>
      </c>
      <c r="C499" s="6" t="s">
        <v>49</v>
      </c>
      <c r="D499" s="5" t="s">
        <v>874</v>
      </c>
      <c r="E499" s="5" t="s">
        <v>875</v>
      </c>
      <c r="F499" s="5" t="s">
        <v>76</v>
      </c>
      <c r="G499" s="5" t="s">
        <v>101</v>
      </c>
      <c r="H499" s="5" t="s">
        <v>115</v>
      </c>
      <c r="I499" s="5" t="s">
        <v>94</v>
      </c>
      <c r="J499" s="7" t="n">
        <v>1436</v>
      </c>
      <c r="K499" s="8" t="n">
        <v>5300</v>
      </c>
      <c r="L499" s="8" t="n">
        <v>62</v>
      </c>
      <c r="M499" s="8" t="n">
        <v>45755.31</v>
      </c>
      <c r="N499" s="8" t="n">
        <v>749886</v>
      </c>
      <c r="O499" s="5" t="n">
        <v>11.8</v>
      </c>
      <c r="P499" s="9" t="n">
        <v>1.92</v>
      </c>
      <c r="Q499" s="5" t="n">
        <v>1.47</v>
      </c>
      <c r="R499" s="5" t="s">
        <v>53</v>
      </c>
      <c r="S499" s="5" t="s">
        <v>79</v>
      </c>
      <c r="T499" s="5" t="n">
        <v>96</v>
      </c>
      <c r="U499" s="5" t="s">
        <v>80</v>
      </c>
      <c r="V499" s="5" t="s">
        <v>1467</v>
      </c>
    </row>
    <row r="500" customFormat="false" ht="15" hidden="false" customHeight="false" outlineLevel="0" collapsed="false">
      <c r="A500" s="5" t="n">
        <v>499</v>
      </c>
      <c r="B500" s="5" t="s">
        <v>1468</v>
      </c>
      <c r="C500" s="6" t="s">
        <v>49</v>
      </c>
      <c r="D500" s="5" t="s">
        <v>803</v>
      </c>
      <c r="E500" s="5" t="s">
        <v>804</v>
      </c>
      <c r="F500" s="5" t="s">
        <v>76</v>
      </c>
      <c r="G500" s="5" t="s">
        <v>101</v>
      </c>
      <c r="H500" s="5" t="s">
        <v>1000</v>
      </c>
      <c r="I500" s="5" t="s">
        <v>94</v>
      </c>
      <c r="J500" s="7" t="n">
        <v>1436</v>
      </c>
      <c r="K500" s="8" t="n">
        <v>6030</v>
      </c>
      <c r="L500" s="8" t="n">
        <v>26</v>
      </c>
      <c r="M500" s="8" t="n">
        <v>23693.15</v>
      </c>
      <c r="N500" s="8" t="n">
        <v>252357</v>
      </c>
      <c r="O500" s="5" t="n">
        <v>38.3</v>
      </c>
      <c r="P500" s="9" t="n">
        <v>5.69</v>
      </c>
      <c r="Q500" s="5" t="n">
        <v>0.44</v>
      </c>
      <c r="R500" s="5" t="s">
        <v>53</v>
      </c>
      <c r="S500" s="5" t="s">
        <v>79</v>
      </c>
      <c r="T500" s="5" t="n">
        <v>96</v>
      </c>
      <c r="U500" s="5" t="s">
        <v>80</v>
      </c>
      <c r="V500" s="5" t="s">
        <v>1469</v>
      </c>
    </row>
    <row r="501" customFormat="false" ht="15" hidden="false" customHeight="false" outlineLevel="0" collapsed="false">
      <c r="A501" s="5" t="n">
        <v>500</v>
      </c>
      <c r="B501" s="5" t="s">
        <v>1470</v>
      </c>
      <c r="C501" s="6" t="s">
        <v>49</v>
      </c>
      <c r="D501" s="5" t="s">
        <v>448</v>
      </c>
      <c r="E501" s="5" t="s">
        <v>449</v>
      </c>
      <c r="F501" s="5" t="s">
        <v>212</v>
      </c>
      <c r="G501" s="5" t="s">
        <v>219</v>
      </c>
      <c r="H501" s="5" t="s">
        <v>699</v>
      </c>
      <c r="I501" s="5" t="s">
        <v>1050</v>
      </c>
      <c r="J501" s="7" t="n">
        <v>1429</v>
      </c>
      <c r="K501" s="8" t="n">
        <v>11600</v>
      </c>
      <c r="L501" s="8" t="n">
        <v>93</v>
      </c>
      <c r="M501" s="8" t="n">
        <v>21229.99</v>
      </c>
      <c r="N501" s="8" t="n">
        <v>833473</v>
      </c>
      <c r="O501" s="5" t="n">
        <v>16.6</v>
      </c>
      <c r="P501" s="9" t="n">
        <v>1.71</v>
      </c>
      <c r="Q501" s="5" t="n">
        <v>2.1</v>
      </c>
      <c r="R501" s="5" t="s">
        <v>53</v>
      </c>
      <c r="S501" s="5" t="s">
        <v>375</v>
      </c>
      <c r="T501" s="5" t="n">
        <v>125</v>
      </c>
      <c r="U501" s="5" t="s">
        <v>80</v>
      </c>
      <c r="V501" s="5" t="s">
        <v>1471</v>
      </c>
    </row>
    <row r="502" customFormat="false" ht="15" hidden="false" customHeight="false" outlineLevel="0" collapsed="false">
      <c r="A502" s="5" t="n">
        <v>501</v>
      </c>
      <c r="B502" s="5" t="s">
        <v>1472</v>
      </c>
      <c r="C502" s="6" t="s">
        <v>49</v>
      </c>
      <c r="D502" s="5" t="s">
        <v>223</v>
      </c>
      <c r="E502" s="5" t="s">
        <v>224</v>
      </c>
      <c r="F502" s="5" t="s">
        <v>91</v>
      </c>
      <c r="G502" s="5" t="s">
        <v>92</v>
      </c>
      <c r="H502" s="5" t="s">
        <v>93</v>
      </c>
      <c r="I502" s="5" t="s">
        <v>94</v>
      </c>
      <c r="J502" s="7" t="n">
        <v>1425</v>
      </c>
      <c r="K502" s="8" t="n">
        <v>5920</v>
      </c>
      <c r="L502" s="8" t="n">
        <v>24</v>
      </c>
      <c r="M502" s="8" t="n">
        <v>35391.67</v>
      </c>
      <c r="N502" s="8" t="n">
        <v>315717</v>
      </c>
      <c r="O502" s="5" t="n">
        <v>50.8</v>
      </c>
      <c r="P502" s="9" t="n">
        <v>4.51</v>
      </c>
      <c r="Q502" s="5" t="n">
        <v>6.91</v>
      </c>
      <c r="R502" s="5" t="s">
        <v>53</v>
      </c>
      <c r="S502" s="5" t="s">
        <v>184</v>
      </c>
      <c r="T502" s="5" t="n">
        <v>64</v>
      </c>
      <c r="U502" s="5" t="s">
        <v>80</v>
      </c>
      <c r="V502" s="5" t="s">
        <v>1473</v>
      </c>
    </row>
    <row r="503" customFormat="false" ht="15" hidden="false" customHeight="false" outlineLevel="0" collapsed="false">
      <c r="A503" s="5" t="n">
        <v>502</v>
      </c>
      <c r="B503" s="5" t="s">
        <v>1474</v>
      </c>
      <c r="C503" s="6" t="s">
        <v>49</v>
      </c>
      <c r="D503" s="5" t="s">
        <v>844</v>
      </c>
      <c r="E503" s="5" t="s">
        <v>845</v>
      </c>
      <c r="F503" s="5"/>
      <c r="G503" s="5"/>
      <c r="H503" s="5" t="s">
        <v>1475</v>
      </c>
      <c r="I503" s="5"/>
      <c r="J503" s="7" t="n">
        <v>1425</v>
      </c>
      <c r="K503" s="8" t="n">
        <v>1970</v>
      </c>
      <c r="L503" s="8" t="n">
        <v>29</v>
      </c>
      <c r="M503" s="8" t="n">
        <v>21334</v>
      </c>
      <c r="N503" s="8" t="n">
        <v>1006654</v>
      </c>
      <c r="O503" s="5" t="n">
        <v>17.4</v>
      </c>
      <c r="P503" s="9" t="n">
        <v>1.42</v>
      </c>
      <c r="Q503" s="5" t="n">
        <v>2.94</v>
      </c>
      <c r="R503" s="5" t="s">
        <v>53</v>
      </c>
      <c r="S503" s="5" t="s">
        <v>65</v>
      </c>
      <c r="T503" s="5" t="n">
        <v>30</v>
      </c>
      <c r="U503" s="5" t="s">
        <v>55</v>
      </c>
      <c r="V503" s="5" t="s">
        <v>1476</v>
      </c>
    </row>
    <row r="504" customFormat="false" ht="15" hidden="false" customHeight="false" outlineLevel="0" collapsed="false">
      <c r="A504" s="5" t="n">
        <v>503</v>
      </c>
      <c r="B504" s="5" t="s">
        <v>1477</v>
      </c>
      <c r="C504" s="6" t="s">
        <v>49</v>
      </c>
      <c r="D504" s="5" t="s">
        <v>89</v>
      </c>
      <c r="E504" s="5" t="s">
        <v>90</v>
      </c>
      <c r="F504" s="5" t="s">
        <v>76</v>
      </c>
      <c r="G504" s="5" t="s">
        <v>157</v>
      </c>
      <c r="H504" s="5" t="s">
        <v>93</v>
      </c>
      <c r="I504" s="5" t="s">
        <v>94</v>
      </c>
      <c r="J504" s="7" t="n">
        <v>1417</v>
      </c>
      <c r="K504" s="8" t="n">
        <v>3540</v>
      </c>
      <c r="L504" s="8" t="n">
        <v>43</v>
      </c>
      <c r="M504" s="8" t="n">
        <v>20912.88</v>
      </c>
      <c r="N504" s="8" t="n">
        <v>350946</v>
      </c>
      <c r="O504" s="5" t="n">
        <v>27</v>
      </c>
      <c r="P504" s="9" t="n">
        <v>4.04</v>
      </c>
      <c r="Q504" s="5" t="n">
        <v>2.18</v>
      </c>
      <c r="R504" s="5" t="s">
        <v>95</v>
      </c>
      <c r="S504" s="5" t="s">
        <v>110</v>
      </c>
      <c r="T504" s="5" t="n">
        <v>34</v>
      </c>
      <c r="U504" s="5" t="s">
        <v>80</v>
      </c>
      <c r="V504" s="5" t="s">
        <v>1478</v>
      </c>
    </row>
    <row r="505" customFormat="false" ht="15" hidden="false" customHeight="false" outlineLevel="0" collapsed="false">
      <c r="A505" s="5" t="n">
        <v>504</v>
      </c>
      <c r="B505" s="5" t="s">
        <v>1479</v>
      </c>
      <c r="C505" s="6" t="s">
        <v>49</v>
      </c>
      <c r="D505" s="5" t="s">
        <v>282</v>
      </c>
      <c r="E505" s="5" t="s">
        <v>283</v>
      </c>
      <c r="F505" s="5" t="s">
        <v>76</v>
      </c>
      <c r="G505" s="5"/>
      <c r="H505" s="5" t="s">
        <v>1480</v>
      </c>
      <c r="I505" s="5" t="s">
        <v>296</v>
      </c>
      <c r="J505" s="7" t="n">
        <v>1406</v>
      </c>
      <c r="K505" s="8" t="n">
        <v>5960</v>
      </c>
      <c r="L505" s="8" t="n">
        <v>268</v>
      </c>
      <c r="M505" s="8" t="n">
        <v>5337.1</v>
      </c>
      <c r="N505" s="8" t="n">
        <v>567854</v>
      </c>
      <c r="O505" s="5" t="n">
        <v>23.2</v>
      </c>
      <c r="P505" s="9" t="n">
        <v>2.48</v>
      </c>
      <c r="Q505" s="5" t="n">
        <v>0.44</v>
      </c>
      <c r="R505" s="5" t="s">
        <v>53</v>
      </c>
      <c r="S505" s="5" t="s">
        <v>79</v>
      </c>
      <c r="T505" s="5" t="n">
        <v>96</v>
      </c>
      <c r="U505" s="5" t="s">
        <v>80</v>
      </c>
      <c r="V505" s="5" t="s">
        <v>1481</v>
      </c>
    </row>
    <row r="506" customFormat="false" ht="15" hidden="false" customHeight="false" outlineLevel="0" collapsed="false">
      <c r="A506" s="5" t="n">
        <v>505</v>
      </c>
      <c r="B506" s="5" t="s">
        <v>1482</v>
      </c>
      <c r="C506" s="6" t="s">
        <v>49</v>
      </c>
      <c r="D506" s="5" t="s">
        <v>803</v>
      </c>
      <c r="E506" s="5" t="s">
        <v>804</v>
      </c>
      <c r="F506" s="5" t="s">
        <v>76</v>
      </c>
      <c r="G506" s="5" t="s">
        <v>101</v>
      </c>
      <c r="H506" s="5" t="s">
        <v>93</v>
      </c>
      <c r="I506" s="5" t="s">
        <v>94</v>
      </c>
      <c r="J506" s="7" t="n">
        <v>1403</v>
      </c>
      <c r="K506" s="8" t="n">
        <v>8310</v>
      </c>
      <c r="L506" s="8" t="n">
        <v>59</v>
      </c>
      <c r="M506" s="8" t="n">
        <v>20175.8</v>
      </c>
      <c r="N506" s="8" t="n">
        <v>320675</v>
      </c>
      <c r="O506" s="5" t="n">
        <v>23.3</v>
      </c>
      <c r="P506" s="9" t="n">
        <v>4.37</v>
      </c>
      <c r="Q506" s="5" t="n">
        <v>1.47</v>
      </c>
      <c r="R506" s="5" t="s">
        <v>95</v>
      </c>
      <c r="S506" s="5" t="s">
        <v>79</v>
      </c>
      <c r="T506" s="5" t="n">
        <v>96</v>
      </c>
      <c r="U506" s="5" t="s">
        <v>80</v>
      </c>
      <c r="V506" s="5" t="s">
        <v>1483</v>
      </c>
    </row>
    <row r="507" customFormat="false" ht="15" hidden="false" customHeight="false" outlineLevel="0" collapsed="false">
      <c r="A507" s="5" t="n">
        <v>506</v>
      </c>
      <c r="B507" s="5" t="s">
        <v>1484</v>
      </c>
      <c r="C507" s="6" t="s">
        <v>49</v>
      </c>
      <c r="D507" s="5" t="s">
        <v>125</v>
      </c>
      <c r="E507" s="5" t="s">
        <v>126</v>
      </c>
      <c r="F507" s="5" t="s">
        <v>76</v>
      </c>
      <c r="G507" s="5"/>
      <c r="H507" s="5" t="s">
        <v>102</v>
      </c>
      <c r="I507" s="5" t="s">
        <v>94</v>
      </c>
      <c r="J507" s="7" t="n">
        <v>1400</v>
      </c>
      <c r="K507" s="8" t="n">
        <v>17600</v>
      </c>
      <c r="L507" s="8" t="n">
        <v>153</v>
      </c>
      <c r="M507" s="8" t="n">
        <v>18516.76</v>
      </c>
      <c r="N507" s="8" t="n">
        <v>570894</v>
      </c>
      <c r="O507" s="5" t="n">
        <v>23</v>
      </c>
      <c r="P507" s="9" t="n">
        <v>2.45</v>
      </c>
      <c r="Q507" s="5" t="n">
        <v>0.06</v>
      </c>
      <c r="R507" s="5" t="s">
        <v>95</v>
      </c>
      <c r="S507" s="5" t="s">
        <v>375</v>
      </c>
      <c r="T507" s="5" t="n">
        <v>125</v>
      </c>
      <c r="U507" s="5" t="s">
        <v>80</v>
      </c>
      <c r="V507" s="5" t="s">
        <v>1485</v>
      </c>
    </row>
    <row r="508" customFormat="false" ht="15" hidden="false" customHeight="false" outlineLevel="0" collapsed="false">
      <c r="A508" s="5" t="n">
        <v>507</v>
      </c>
      <c r="B508" s="5" t="s">
        <v>1486</v>
      </c>
      <c r="C508" s="6" t="s">
        <v>49</v>
      </c>
      <c r="D508" s="5" t="s">
        <v>162</v>
      </c>
      <c r="E508" s="5" t="s">
        <v>163</v>
      </c>
      <c r="F508" s="5" t="s">
        <v>212</v>
      </c>
      <c r="G508" s="5" t="s">
        <v>213</v>
      </c>
      <c r="H508" s="5" t="s">
        <v>484</v>
      </c>
      <c r="I508" s="5" t="s">
        <v>122</v>
      </c>
      <c r="J508" s="7" t="n">
        <v>1389</v>
      </c>
      <c r="K508" s="8" t="n">
        <v>12400</v>
      </c>
      <c r="L508" s="8" t="n">
        <v>131</v>
      </c>
      <c r="M508" s="8" t="n">
        <v>21285.16</v>
      </c>
      <c r="N508" s="8" t="n">
        <v>718219</v>
      </c>
      <c r="O508" s="5" t="n">
        <v>65.8</v>
      </c>
      <c r="P508" s="9" t="n">
        <v>1.93</v>
      </c>
      <c r="Q508" s="5" t="n">
        <v>0.32</v>
      </c>
      <c r="R508" s="5" t="s">
        <v>95</v>
      </c>
      <c r="S508" s="5" t="s">
        <v>184</v>
      </c>
      <c r="T508" s="5" t="n">
        <v>64</v>
      </c>
      <c r="U508" s="5" t="s">
        <v>80</v>
      </c>
      <c r="V508" s="5" t="s">
        <v>1487</v>
      </c>
    </row>
    <row r="509" customFormat="false" ht="15" hidden="false" customHeight="false" outlineLevel="0" collapsed="false">
      <c r="A509" s="5" t="n">
        <v>508</v>
      </c>
      <c r="B509" s="5" t="s">
        <v>1488</v>
      </c>
      <c r="C509" s="6" t="s">
        <v>49</v>
      </c>
      <c r="D509" s="5" t="s">
        <v>170</v>
      </c>
      <c r="E509" s="5" t="s">
        <v>171</v>
      </c>
      <c r="F509" s="5" t="s">
        <v>76</v>
      </c>
      <c r="G509" s="5" t="s">
        <v>101</v>
      </c>
      <c r="H509" s="5" t="s">
        <v>1374</v>
      </c>
      <c r="I509" s="5" t="s">
        <v>94</v>
      </c>
      <c r="J509" s="7" t="n">
        <v>1386</v>
      </c>
      <c r="K509" s="8" t="n">
        <v>5020</v>
      </c>
      <c r="L509" s="8" t="n">
        <v>36</v>
      </c>
      <c r="M509" s="8" t="n">
        <v>41214.69</v>
      </c>
      <c r="N509" s="8" t="n">
        <v>324201</v>
      </c>
      <c r="O509" s="5" t="n">
        <v>31.5</v>
      </c>
      <c r="P509" s="9" t="n">
        <v>4.28</v>
      </c>
      <c r="Q509" s="5" t="n">
        <v>3.13</v>
      </c>
      <c r="R509" s="5" t="s">
        <v>95</v>
      </c>
      <c r="S509" s="5" t="s">
        <v>79</v>
      </c>
      <c r="T509" s="5" t="n">
        <v>96</v>
      </c>
      <c r="U509" s="5" t="s">
        <v>80</v>
      </c>
      <c r="V509" s="5" t="s">
        <v>1489</v>
      </c>
    </row>
    <row r="510" customFormat="false" ht="15" hidden="false" customHeight="false" outlineLevel="0" collapsed="false">
      <c r="A510" s="5" t="n">
        <v>509</v>
      </c>
      <c r="B510" s="5" t="s">
        <v>1490</v>
      </c>
      <c r="C510" s="6" t="s">
        <v>49</v>
      </c>
      <c r="D510" s="5" t="s">
        <v>270</v>
      </c>
      <c r="E510" s="5" t="s">
        <v>271</v>
      </c>
      <c r="F510" s="5"/>
      <c r="G510" s="5"/>
      <c r="H510" s="5" t="s">
        <v>1491</v>
      </c>
      <c r="I510" s="5"/>
      <c r="J510" s="7" t="n">
        <v>1384</v>
      </c>
      <c r="K510" s="8" t="n">
        <v>1420</v>
      </c>
      <c r="L510" s="8" t="n">
        <v>26</v>
      </c>
      <c r="M510" s="8" t="n">
        <v>15196</v>
      </c>
      <c r="N510" s="8" t="n">
        <v>391199</v>
      </c>
      <c r="O510" s="5" t="n">
        <v>22.4</v>
      </c>
      <c r="P510" s="9" t="n">
        <v>3.54</v>
      </c>
      <c r="Q510" s="5" t="n">
        <v>1.13</v>
      </c>
      <c r="R510" s="5" t="s">
        <v>53</v>
      </c>
      <c r="S510" s="5" t="s">
        <v>1176</v>
      </c>
      <c r="T510" s="5" t="n">
        <v>92</v>
      </c>
      <c r="U510" s="5" t="s">
        <v>55</v>
      </c>
      <c r="V510" s="5" t="s">
        <v>1492</v>
      </c>
    </row>
    <row r="511" customFormat="false" ht="15" hidden="false" customHeight="false" outlineLevel="0" collapsed="false">
      <c r="A511" s="5" t="n">
        <v>510</v>
      </c>
      <c r="B511" s="5" t="s">
        <v>1493</v>
      </c>
      <c r="C511" s="6" t="s">
        <v>49</v>
      </c>
      <c r="D511" s="5" t="s">
        <v>404</v>
      </c>
      <c r="E511" s="5" t="s">
        <v>405</v>
      </c>
      <c r="F511" s="5"/>
      <c r="G511" s="5"/>
      <c r="H511" s="5" t="s">
        <v>1494</v>
      </c>
      <c r="I511" s="5"/>
      <c r="J511" s="7" t="n">
        <v>1380</v>
      </c>
      <c r="K511" s="8" t="n">
        <v>1410</v>
      </c>
      <c r="L511" s="8" t="n">
        <v>13</v>
      </c>
      <c r="M511" s="8" t="n">
        <v>9866</v>
      </c>
      <c r="N511" s="8" t="n">
        <v>180787</v>
      </c>
      <c r="O511" s="5" t="n">
        <v>39.2</v>
      </c>
      <c r="P511" s="9" t="n">
        <v>7.63</v>
      </c>
      <c r="Q511" s="5" t="n">
        <v>0.39</v>
      </c>
      <c r="R511" s="5" t="s">
        <v>53</v>
      </c>
      <c r="S511" s="5" t="s">
        <v>1226</v>
      </c>
      <c r="T511" s="5" t="n">
        <v>21</v>
      </c>
      <c r="U511" s="5" t="s">
        <v>55</v>
      </c>
      <c r="V511" s="5" t="s">
        <v>1495</v>
      </c>
    </row>
    <row r="512" customFormat="false" ht="15" hidden="false" customHeight="false" outlineLevel="0" collapsed="false">
      <c r="A512" s="5" t="n">
        <v>511</v>
      </c>
      <c r="B512" s="5" t="s">
        <v>1496</v>
      </c>
      <c r="C512" s="6" t="s">
        <v>49</v>
      </c>
      <c r="D512" s="5" t="s">
        <v>1064</v>
      </c>
      <c r="E512" s="5" t="s">
        <v>1065</v>
      </c>
      <c r="F512" s="5" t="s">
        <v>212</v>
      </c>
      <c r="G512" s="5" t="s">
        <v>219</v>
      </c>
      <c r="H512" s="5" t="s">
        <v>1066</v>
      </c>
      <c r="I512" s="5" t="s">
        <v>109</v>
      </c>
      <c r="J512" s="7" t="n">
        <v>1372</v>
      </c>
      <c r="K512" s="8" t="n">
        <v>16600</v>
      </c>
      <c r="L512" s="8" t="n">
        <v>98</v>
      </c>
      <c r="M512" s="8" t="n">
        <v>20217.98</v>
      </c>
      <c r="N512" s="8" t="n">
        <v>797565</v>
      </c>
      <c r="O512" s="5" t="n">
        <v>10.7</v>
      </c>
      <c r="P512" s="9" t="n">
        <v>1.72</v>
      </c>
      <c r="Q512" s="5" t="n">
        <v>0.17</v>
      </c>
      <c r="R512" s="5" t="s">
        <v>95</v>
      </c>
      <c r="S512" s="5" t="s">
        <v>375</v>
      </c>
      <c r="T512" s="5" t="n">
        <v>125</v>
      </c>
      <c r="U512" s="5" t="s">
        <v>80</v>
      </c>
      <c r="V512" s="5" t="s">
        <v>1497</v>
      </c>
    </row>
    <row r="513" customFormat="false" ht="15" hidden="false" customHeight="false" outlineLevel="0" collapsed="false">
      <c r="A513" s="5" t="n">
        <v>512</v>
      </c>
      <c r="B513" s="5" t="s">
        <v>1498</v>
      </c>
      <c r="C513" s="6" t="s">
        <v>49</v>
      </c>
      <c r="D513" s="5" t="s">
        <v>554</v>
      </c>
      <c r="E513" s="5" t="s">
        <v>555</v>
      </c>
      <c r="F513" s="5" t="s">
        <v>76</v>
      </c>
      <c r="G513" s="5" t="s">
        <v>92</v>
      </c>
      <c r="H513" s="5" t="s">
        <v>93</v>
      </c>
      <c r="I513" s="5" t="s">
        <v>94</v>
      </c>
      <c r="J513" s="7" t="n">
        <v>1372</v>
      </c>
      <c r="K513" s="8" t="n">
        <v>4300</v>
      </c>
      <c r="L513" s="8" t="n">
        <v>5</v>
      </c>
      <c r="M513" s="8" t="n">
        <v>500328.33</v>
      </c>
      <c r="N513" s="8" t="n">
        <v>623270</v>
      </c>
      <c r="O513" s="5" t="n">
        <v>11.3</v>
      </c>
      <c r="P513" s="9" t="n">
        <v>2.2</v>
      </c>
      <c r="Q513" s="5" t="n">
        <v>0.2</v>
      </c>
      <c r="R513" s="5" t="s">
        <v>53</v>
      </c>
      <c r="S513" s="5" t="s">
        <v>116</v>
      </c>
      <c r="T513" s="5" t="n">
        <v>126</v>
      </c>
      <c r="U513" s="5" t="s">
        <v>80</v>
      </c>
      <c r="V513" s="5" t="s">
        <v>1499</v>
      </c>
    </row>
    <row r="514" customFormat="false" ht="15" hidden="false" customHeight="false" outlineLevel="0" collapsed="false">
      <c r="A514" s="5" t="n">
        <v>513</v>
      </c>
      <c r="B514" s="5" t="s">
        <v>1500</v>
      </c>
      <c r="C514" s="6" t="s">
        <v>49</v>
      </c>
      <c r="D514" s="5" t="s">
        <v>50</v>
      </c>
      <c r="E514" s="5" t="s">
        <v>51</v>
      </c>
      <c r="F514" s="5"/>
      <c r="G514" s="5"/>
      <c r="H514" s="5" t="s">
        <v>1501</v>
      </c>
      <c r="I514" s="5"/>
      <c r="J514" s="7" t="n">
        <v>1370</v>
      </c>
      <c r="K514" s="8" t="n">
        <v>7790</v>
      </c>
      <c r="L514" s="8" t="n">
        <v>6</v>
      </c>
      <c r="M514" s="8" t="n">
        <v>109383</v>
      </c>
      <c r="N514" s="8" t="n">
        <v>499237</v>
      </c>
      <c r="O514" s="5" t="n">
        <v>18.8</v>
      </c>
      <c r="P514" s="9" t="n">
        <v>2.75</v>
      </c>
      <c r="Q514" s="5" t="n">
        <v>24.03</v>
      </c>
      <c r="R514" s="5" t="s">
        <v>53</v>
      </c>
      <c r="S514" s="5" t="s">
        <v>65</v>
      </c>
      <c r="T514" s="5" t="n">
        <v>30</v>
      </c>
      <c r="U514" s="5" t="s">
        <v>55</v>
      </c>
      <c r="V514" s="5" t="s">
        <v>1502</v>
      </c>
    </row>
    <row r="515" customFormat="false" ht="15" hidden="false" customHeight="false" outlineLevel="0" collapsed="false">
      <c r="A515" s="5" t="n">
        <v>514</v>
      </c>
      <c r="B515" s="5" t="s">
        <v>1503</v>
      </c>
      <c r="C515" s="6" t="s">
        <v>49</v>
      </c>
      <c r="D515" s="5" t="s">
        <v>351</v>
      </c>
      <c r="E515" s="5" t="s">
        <v>352</v>
      </c>
      <c r="F515" s="5"/>
      <c r="G515" s="5"/>
      <c r="H515" s="5" t="s">
        <v>1504</v>
      </c>
      <c r="I515" s="5"/>
      <c r="J515" s="7" t="n">
        <v>1368</v>
      </c>
      <c r="K515" s="8" t="n">
        <v>1240</v>
      </c>
      <c r="L515" s="8" t="n">
        <v>11</v>
      </c>
      <c r="M515" s="8" t="n">
        <v>51119</v>
      </c>
      <c r="N515" s="8" t="n">
        <v>934460</v>
      </c>
      <c r="O515" s="5" t="n">
        <v>9.8</v>
      </c>
      <c r="P515" s="9" t="n">
        <v>1.46</v>
      </c>
      <c r="Q515" s="5" t="n">
        <v>7.65</v>
      </c>
      <c r="R515" s="5" t="s">
        <v>53</v>
      </c>
      <c r="S515" s="5" t="s">
        <v>65</v>
      </c>
      <c r="T515" s="5" t="n">
        <v>30</v>
      </c>
      <c r="U515" s="5" t="s">
        <v>55</v>
      </c>
      <c r="V515" s="5" t="s">
        <v>1505</v>
      </c>
    </row>
    <row r="516" customFormat="false" ht="15" hidden="false" customHeight="false" outlineLevel="0" collapsed="false">
      <c r="A516" s="5" t="n">
        <v>515</v>
      </c>
      <c r="B516" s="5" t="s">
        <v>1506</v>
      </c>
      <c r="C516" s="6" t="s">
        <v>49</v>
      </c>
      <c r="D516" s="5" t="s">
        <v>200</v>
      </c>
      <c r="E516" s="5" t="s">
        <v>201</v>
      </c>
      <c r="F516" s="5" t="s">
        <v>212</v>
      </c>
      <c r="G516" s="5" t="s">
        <v>219</v>
      </c>
      <c r="H516" s="5" t="s">
        <v>748</v>
      </c>
      <c r="I516" s="5" t="s">
        <v>296</v>
      </c>
      <c r="J516" s="7" t="n">
        <v>1358</v>
      </c>
      <c r="K516" s="8" t="n">
        <v>9390</v>
      </c>
      <c r="L516" s="8" t="n">
        <v>236</v>
      </c>
      <c r="M516" s="8" t="n">
        <v>11610.64</v>
      </c>
      <c r="N516" s="8" t="n">
        <v>1060222</v>
      </c>
      <c r="O516" s="5" t="n">
        <v>27.7</v>
      </c>
      <c r="P516" s="9" t="n">
        <v>1.28</v>
      </c>
      <c r="Q516" s="5" t="n">
        <v>1.41</v>
      </c>
      <c r="R516" s="5" t="s">
        <v>53</v>
      </c>
      <c r="S516" s="5" t="s">
        <v>184</v>
      </c>
      <c r="T516" s="5" t="n">
        <v>64</v>
      </c>
      <c r="U516" s="5" t="s">
        <v>80</v>
      </c>
      <c r="V516" s="5" t="s">
        <v>1507</v>
      </c>
    </row>
    <row r="517" customFormat="false" ht="15" hidden="false" customHeight="false" outlineLevel="0" collapsed="false">
      <c r="A517" s="5" t="n">
        <v>516</v>
      </c>
      <c r="B517" s="5" t="s">
        <v>1508</v>
      </c>
      <c r="C517" s="6" t="s">
        <v>49</v>
      </c>
      <c r="D517" s="5" t="s">
        <v>162</v>
      </c>
      <c r="E517" s="5" t="s">
        <v>163</v>
      </c>
      <c r="F517" s="5" t="s">
        <v>212</v>
      </c>
      <c r="G517" s="5" t="s">
        <v>219</v>
      </c>
      <c r="H517" s="5" t="s">
        <v>183</v>
      </c>
      <c r="I517" s="5" t="s">
        <v>122</v>
      </c>
      <c r="J517" s="7" t="n">
        <v>1346</v>
      </c>
      <c r="K517" s="8" t="n">
        <v>14400</v>
      </c>
      <c r="L517" s="8" t="n">
        <v>10</v>
      </c>
      <c r="M517" s="8" t="n">
        <v>215230</v>
      </c>
      <c r="N517" s="8" t="n">
        <v>805585</v>
      </c>
      <c r="O517" s="5" t="n">
        <v>82.3</v>
      </c>
      <c r="P517" s="9" t="n">
        <v>1.67</v>
      </c>
      <c r="Q517" s="5" t="n">
        <v>14.45</v>
      </c>
      <c r="R517" s="5" t="s">
        <v>53</v>
      </c>
      <c r="S517" s="5" t="s">
        <v>1334</v>
      </c>
      <c r="T517" s="5" t="n">
        <v>62</v>
      </c>
      <c r="U517" s="5" t="s">
        <v>80</v>
      </c>
      <c r="V517" s="5" t="s">
        <v>1509</v>
      </c>
    </row>
    <row r="518" customFormat="false" ht="15" hidden="false" customHeight="false" outlineLevel="0" collapsed="false">
      <c r="A518" s="5" t="n">
        <v>517</v>
      </c>
      <c r="B518" s="5" t="s">
        <v>1510</v>
      </c>
      <c r="C518" s="6" t="s">
        <v>49</v>
      </c>
      <c r="D518" s="5" t="s">
        <v>205</v>
      </c>
      <c r="E518" s="5" t="s">
        <v>206</v>
      </c>
      <c r="F518" s="5" t="s">
        <v>76</v>
      </c>
      <c r="G518" s="5" t="s">
        <v>101</v>
      </c>
      <c r="H518" s="5" t="s">
        <v>366</v>
      </c>
      <c r="I518" s="5" t="s">
        <v>109</v>
      </c>
      <c r="J518" s="7" t="n">
        <v>1337</v>
      </c>
      <c r="K518" s="8" t="n">
        <v>21000</v>
      </c>
      <c r="L518" s="8" t="n">
        <v>16</v>
      </c>
      <c r="M518" s="8" t="n">
        <v>79262.5</v>
      </c>
      <c r="N518" s="8" t="n">
        <v>239027</v>
      </c>
      <c r="O518" s="5" t="n">
        <v>10.5</v>
      </c>
      <c r="P518" s="9" t="n">
        <v>5.59</v>
      </c>
      <c r="Q518" s="5" t="n">
        <v>1.8</v>
      </c>
      <c r="R518" s="5" t="s">
        <v>53</v>
      </c>
      <c r="S518" s="5" t="s">
        <v>116</v>
      </c>
      <c r="T518" s="5" t="n">
        <v>126</v>
      </c>
      <c r="U518" s="5" t="s">
        <v>80</v>
      </c>
      <c r="V518" s="5" t="s">
        <v>1511</v>
      </c>
    </row>
    <row r="519" customFormat="false" ht="15" hidden="false" customHeight="false" outlineLevel="0" collapsed="false">
      <c r="A519" s="5" t="n">
        <v>518</v>
      </c>
      <c r="B519" s="5" t="s">
        <v>1512</v>
      </c>
      <c r="C519" s="6" t="s">
        <v>49</v>
      </c>
      <c r="D519" s="5" t="s">
        <v>139</v>
      </c>
      <c r="E519" s="5" t="s">
        <v>140</v>
      </c>
      <c r="F519" s="5" t="s">
        <v>76</v>
      </c>
      <c r="G519" s="5"/>
      <c r="H519" s="5" t="s">
        <v>214</v>
      </c>
      <c r="I519" s="5" t="s">
        <v>109</v>
      </c>
      <c r="J519" s="7" t="n">
        <v>1335</v>
      </c>
      <c r="K519" s="8" t="n">
        <v>18000</v>
      </c>
      <c r="L519" s="8" t="n">
        <v>29</v>
      </c>
      <c r="M519" s="8" t="n">
        <v>112144.83</v>
      </c>
      <c r="N519" s="8" t="n">
        <v>848263</v>
      </c>
      <c r="O519" s="5" t="n">
        <v>6.5</v>
      </c>
      <c r="P519" s="9" t="n">
        <v>1.57</v>
      </c>
      <c r="Q519" s="5" t="n">
        <v>1.4</v>
      </c>
      <c r="R519" s="5" t="s">
        <v>53</v>
      </c>
      <c r="S519" s="5" t="s">
        <v>375</v>
      </c>
      <c r="T519" s="5" t="n">
        <v>125</v>
      </c>
      <c r="U519" s="5" t="s">
        <v>80</v>
      </c>
      <c r="V519" s="5" t="s">
        <v>1513</v>
      </c>
    </row>
    <row r="520" customFormat="false" ht="15" hidden="false" customHeight="false" outlineLevel="0" collapsed="false">
      <c r="A520" s="5" t="n">
        <v>519</v>
      </c>
      <c r="B520" s="5" t="s">
        <v>1514</v>
      </c>
      <c r="C520" s="6" t="s">
        <v>49</v>
      </c>
      <c r="D520" s="5" t="s">
        <v>307</v>
      </c>
      <c r="E520" s="5" t="s">
        <v>308</v>
      </c>
      <c r="F520" s="5"/>
      <c r="G520" s="5"/>
      <c r="H520" s="5" t="s">
        <v>1515</v>
      </c>
      <c r="I520" s="5"/>
      <c r="J520" s="7" t="n">
        <v>1332</v>
      </c>
      <c r="K520" s="8" t="n">
        <v>1490</v>
      </c>
      <c r="L520" s="8" t="n">
        <v>166</v>
      </c>
      <c r="M520" s="8" t="n">
        <v>3694</v>
      </c>
      <c r="N520" s="8" t="n">
        <v>466496</v>
      </c>
      <c r="O520" s="5" t="n">
        <v>39.8</v>
      </c>
      <c r="P520" s="9" t="n">
        <v>2.86</v>
      </c>
      <c r="Q520" s="5" t="n">
        <v>0.1</v>
      </c>
      <c r="R520" s="5" t="s">
        <v>95</v>
      </c>
      <c r="S520" s="5" t="s">
        <v>54</v>
      </c>
      <c r="T520" s="5" t="n">
        <v>28</v>
      </c>
      <c r="U520" s="5" t="s">
        <v>55</v>
      </c>
      <c r="V520" s="5" t="s">
        <v>1516</v>
      </c>
    </row>
    <row r="521" customFormat="false" ht="15" hidden="false" customHeight="false" outlineLevel="0" collapsed="false">
      <c r="A521" s="5" t="n">
        <v>520</v>
      </c>
      <c r="B521" s="5" t="s">
        <v>1517</v>
      </c>
      <c r="C521" s="6" t="s">
        <v>49</v>
      </c>
      <c r="D521" s="5" t="s">
        <v>571</v>
      </c>
      <c r="E521" s="5" t="s">
        <v>572</v>
      </c>
      <c r="F521" s="5" t="s">
        <v>76</v>
      </c>
      <c r="G521" s="5" t="s">
        <v>309</v>
      </c>
      <c r="H521" s="5" t="s">
        <v>237</v>
      </c>
      <c r="I521" s="5" t="s">
        <v>180</v>
      </c>
      <c r="J521" s="7" t="n">
        <v>1331</v>
      </c>
      <c r="K521" s="8" t="n">
        <v>3700</v>
      </c>
      <c r="L521" s="8" t="n">
        <v>11</v>
      </c>
      <c r="M521" s="8" t="n">
        <v>306890.91</v>
      </c>
      <c r="N521" s="8" t="n">
        <v>548189</v>
      </c>
      <c r="O521" s="5" t="n">
        <v>10.5</v>
      </c>
      <c r="P521" s="9" t="n">
        <v>2.43</v>
      </c>
      <c r="Q521" s="5" t="n">
        <v>7.06</v>
      </c>
      <c r="R521" s="5" t="s">
        <v>53</v>
      </c>
      <c r="S521" s="5" t="s">
        <v>79</v>
      </c>
      <c r="T521" s="5" t="n">
        <v>96</v>
      </c>
      <c r="U521" s="5" t="s">
        <v>80</v>
      </c>
      <c r="V521" s="5" t="s">
        <v>1518</v>
      </c>
    </row>
    <row r="522" customFormat="false" ht="15" hidden="false" customHeight="false" outlineLevel="0" collapsed="false">
      <c r="A522" s="5" t="n">
        <v>521</v>
      </c>
      <c r="B522" s="5" t="s">
        <v>1519</v>
      </c>
      <c r="C522" s="6" t="s">
        <v>49</v>
      </c>
      <c r="D522" s="5" t="s">
        <v>351</v>
      </c>
      <c r="E522" s="5" t="s">
        <v>352</v>
      </c>
      <c r="F522" s="5"/>
      <c r="G522" s="5"/>
      <c r="H522" s="5" t="s">
        <v>1520</v>
      </c>
      <c r="I522" s="5"/>
      <c r="J522" s="7" t="n">
        <v>1330</v>
      </c>
      <c r="K522" s="8" t="n">
        <v>1490</v>
      </c>
      <c r="L522" s="8" t="n">
        <v>20</v>
      </c>
      <c r="M522" s="8" t="n">
        <v>16790</v>
      </c>
      <c r="N522" s="8" t="n">
        <v>452214</v>
      </c>
      <c r="O522" s="5" t="n">
        <v>15.5</v>
      </c>
      <c r="P522" s="9" t="n">
        <v>2.94</v>
      </c>
      <c r="Q522" s="5" t="n">
        <v>2.75</v>
      </c>
      <c r="R522" s="5" t="s">
        <v>53</v>
      </c>
      <c r="S522" s="5" t="s">
        <v>65</v>
      </c>
      <c r="T522" s="5" t="n">
        <v>30</v>
      </c>
      <c r="U522" s="5" t="s">
        <v>55</v>
      </c>
      <c r="V522" s="5" t="s">
        <v>1521</v>
      </c>
    </row>
    <row r="523" customFormat="false" ht="15" hidden="false" customHeight="false" outlineLevel="0" collapsed="false">
      <c r="A523" s="5" t="n">
        <v>522</v>
      </c>
      <c r="B523" s="5" t="s">
        <v>1522</v>
      </c>
      <c r="C523" s="6" t="s">
        <v>49</v>
      </c>
      <c r="D523" s="5" t="s">
        <v>227</v>
      </c>
      <c r="E523" s="5" t="s">
        <v>228</v>
      </c>
      <c r="F523" s="5" t="s">
        <v>76</v>
      </c>
      <c r="G523" s="5" t="s">
        <v>101</v>
      </c>
      <c r="H523" s="5" t="s">
        <v>136</v>
      </c>
      <c r="I523" s="5" t="s">
        <v>180</v>
      </c>
      <c r="J523" s="7" t="n">
        <v>1318</v>
      </c>
      <c r="K523" s="8" t="n">
        <v>5180</v>
      </c>
      <c r="L523" s="8" t="n">
        <v>19</v>
      </c>
      <c r="M523" s="8" t="n">
        <v>31168.42</v>
      </c>
      <c r="N523" s="8" t="n">
        <v>222515</v>
      </c>
      <c r="O523" s="5" t="n">
        <v>100.4</v>
      </c>
      <c r="P523" s="9" t="n">
        <v>5.92</v>
      </c>
      <c r="Q523" s="5" t="n">
        <v>2.21</v>
      </c>
      <c r="R523" s="5" t="s">
        <v>53</v>
      </c>
      <c r="S523" s="5" t="s">
        <v>103</v>
      </c>
      <c r="T523" s="5" t="n">
        <v>65</v>
      </c>
      <c r="U523" s="5" t="s">
        <v>80</v>
      </c>
      <c r="V523" s="5" t="s">
        <v>1523</v>
      </c>
    </row>
    <row r="524" customFormat="false" ht="15" hidden="false" customHeight="false" outlineLevel="0" collapsed="false">
      <c r="A524" s="5" t="n">
        <v>523</v>
      </c>
      <c r="B524" s="5" t="s">
        <v>1524</v>
      </c>
      <c r="C524" s="6" t="s">
        <v>49</v>
      </c>
      <c r="D524" s="5" t="s">
        <v>89</v>
      </c>
      <c r="E524" s="5" t="s">
        <v>90</v>
      </c>
      <c r="F524" s="5"/>
      <c r="G524" s="5"/>
      <c r="H524" s="5" t="s">
        <v>952</v>
      </c>
      <c r="I524" s="5"/>
      <c r="J524" s="7" t="n">
        <v>1314</v>
      </c>
      <c r="K524" s="8" t="n">
        <v>2930</v>
      </c>
      <c r="L524" s="8" t="n">
        <v>35</v>
      </c>
      <c r="M524" s="8" t="n">
        <v>6854</v>
      </c>
      <c r="N524" s="8" t="n">
        <v>326907</v>
      </c>
      <c r="O524" s="5" t="n">
        <v>26.2</v>
      </c>
      <c r="P524" s="9" t="n">
        <v>4.02</v>
      </c>
      <c r="Q524" s="5" t="n">
        <v>0.07</v>
      </c>
      <c r="R524" s="5" t="s">
        <v>95</v>
      </c>
      <c r="S524" s="5" t="s">
        <v>1226</v>
      </c>
      <c r="T524" s="5" t="n">
        <v>21</v>
      </c>
      <c r="U524" s="5" t="s">
        <v>55</v>
      </c>
      <c r="V524" s="5" t="s">
        <v>1525</v>
      </c>
    </row>
    <row r="525" customFormat="false" ht="15" hidden="false" customHeight="false" outlineLevel="0" collapsed="false">
      <c r="A525" s="5" t="n">
        <v>524</v>
      </c>
      <c r="B525" s="5" t="s">
        <v>1526</v>
      </c>
      <c r="C525" s="6" t="s">
        <v>49</v>
      </c>
      <c r="D525" s="5" t="s">
        <v>399</v>
      </c>
      <c r="E525" s="5" t="s">
        <v>400</v>
      </c>
      <c r="F525" s="5"/>
      <c r="G525" s="5"/>
      <c r="H525" s="5" t="s">
        <v>1527</v>
      </c>
      <c r="I525" s="5"/>
      <c r="J525" s="7" t="n">
        <v>1305</v>
      </c>
      <c r="K525" s="8" t="n">
        <v>8860</v>
      </c>
      <c r="L525" s="8" t="n">
        <v>111</v>
      </c>
      <c r="M525" s="8" t="n">
        <v>9978</v>
      </c>
      <c r="N525" s="8" t="n">
        <v>662446</v>
      </c>
      <c r="O525" s="5" t="n">
        <v>78.1</v>
      </c>
      <c r="P525" s="9" t="n">
        <v>1.97</v>
      </c>
      <c r="Q525" s="5" t="n">
        <v>1.19</v>
      </c>
      <c r="R525" s="5" t="s">
        <v>95</v>
      </c>
      <c r="S525" s="5" t="s">
        <v>61</v>
      </c>
      <c r="T525" s="5" t="n">
        <v>122</v>
      </c>
      <c r="U525" s="5" t="s">
        <v>55</v>
      </c>
      <c r="V525" s="5" t="s">
        <v>1528</v>
      </c>
    </row>
    <row r="526" customFormat="false" ht="15" hidden="false" customHeight="false" outlineLevel="0" collapsed="false">
      <c r="A526" s="5" t="n">
        <v>525</v>
      </c>
      <c r="B526" s="5" t="s">
        <v>1529</v>
      </c>
      <c r="C526" s="6" t="s">
        <v>49</v>
      </c>
      <c r="D526" s="5" t="s">
        <v>633</v>
      </c>
      <c r="E526" s="5" t="s">
        <v>634</v>
      </c>
      <c r="F526" s="5" t="s">
        <v>76</v>
      </c>
      <c r="G526" s="5" t="s">
        <v>309</v>
      </c>
      <c r="H526" s="5" t="s">
        <v>93</v>
      </c>
      <c r="I526" s="5" t="s">
        <v>94</v>
      </c>
      <c r="J526" s="7" t="n">
        <v>1295</v>
      </c>
      <c r="K526" s="8" t="n">
        <v>6250</v>
      </c>
      <c r="L526" s="8" t="n">
        <v>86</v>
      </c>
      <c r="M526" s="8" t="n">
        <v>26280.53</v>
      </c>
      <c r="N526" s="8" t="n">
        <v>420504</v>
      </c>
      <c r="O526" s="5" t="n">
        <v>16.1</v>
      </c>
      <c r="P526" s="9" t="n">
        <v>3.08</v>
      </c>
      <c r="Q526" s="5" t="n">
        <v>0.47</v>
      </c>
      <c r="R526" s="5" t="s">
        <v>53</v>
      </c>
      <c r="S526" s="5" t="s">
        <v>116</v>
      </c>
      <c r="T526" s="5" t="n">
        <v>126</v>
      </c>
      <c r="U526" s="5" t="s">
        <v>80</v>
      </c>
      <c r="V526" s="5" t="s">
        <v>1530</v>
      </c>
    </row>
    <row r="527" customFormat="false" ht="15" hidden="false" customHeight="false" outlineLevel="0" collapsed="false">
      <c r="A527" s="5" t="n">
        <v>526</v>
      </c>
      <c r="B527" s="5" t="s">
        <v>1531</v>
      </c>
      <c r="C527" s="6" t="s">
        <v>49</v>
      </c>
      <c r="D527" s="5" t="s">
        <v>162</v>
      </c>
      <c r="E527" s="5" t="s">
        <v>163</v>
      </c>
      <c r="F527" s="5"/>
      <c r="G527" s="5"/>
      <c r="H527" s="5" t="s">
        <v>1532</v>
      </c>
      <c r="I527" s="5"/>
      <c r="J527" s="7" t="n">
        <v>1291</v>
      </c>
      <c r="K527" s="8" t="n">
        <v>10700</v>
      </c>
      <c r="L527" s="8" t="n">
        <v>11</v>
      </c>
      <c r="M527" s="8" t="n">
        <v>60752</v>
      </c>
      <c r="N527" s="8" t="n">
        <v>667769</v>
      </c>
      <c r="O527" s="5" t="n">
        <v>60.4</v>
      </c>
      <c r="P527" s="9" t="n">
        <v>1.93</v>
      </c>
      <c r="Q527" s="5" t="n">
        <v>0.71</v>
      </c>
      <c r="R527" s="5" t="s">
        <v>95</v>
      </c>
      <c r="S527" s="5" t="s">
        <v>86</v>
      </c>
      <c r="T527" s="5" t="n">
        <v>61</v>
      </c>
      <c r="U527" s="5" t="s">
        <v>55</v>
      </c>
      <c r="V527" s="5" t="s">
        <v>1533</v>
      </c>
    </row>
    <row r="528" customFormat="false" ht="15" hidden="false" customHeight="false" outlineLevel="0" collapsed="false">
      <c r="A528" s="5" t="n">
        <v>527</v>
      </c>
      <c r="B528" s="5" t="s">
        <v>1534</v>
      </c>
      <c r="C528" s="6" t="s">
        <v>49</v>
      </c>
      <c r="D528" s="5" t="s">
        <v>200</v>
      </c>
      <c r="E528" s="5" t="s">
        <v>201</v>
      </c>
      <c r="F528" s="5"/>
      <c r="G528" s="5"/>
      <c r="H528" s="5" t="s">
        <v>1535</v>
      </c>
      <c r="I528" s="5"/>
      <c r="J528" s="7" t="n">
        <v>1286</v>
      </c>
      <c r="K528" s="8" t="n">
        <v>2120</v>
      </c>
      <c r="L528" s="8" t="n">
        <v>14</v>
      </c>
      <c r="M528" s="8" t="n">
        <v>22338</v>
      </c>
      <c r="N528" s="8" t="n">
        <v>312732</v>
      </c>
      <c r="O528" s="5" t="n">
        <v>30.7</v>
      </c>
      <c r="P528" s="9" t="n">
        <v>4.11</v>
      </c>
      <c r="Q528" s="5" t="n">
        <v>1.99</v>
      </c>
      <c r="R528" s="5" t="s">
        <v>53</v>
      </c>
      <c r="S528" s="5" t="s">
        <v>1180</v>
      </c>
      <c r="T528" s="5" t="n">
        <v>14</v>
      </c>
      <c r="U528" s="5" t="s">
        <v>55</v>
      </c>
      <c r="V528" s="5" t="s">
        <v>1536</v>
      </c>
    </row>
    <row r="529" customFormat="false" ht="15" hidden="false" customHeight="false" outlineLevel="0" collapsed="false">
      <c r="A529" s="5" t="n">
        <v>528</v>
      </c>
      <c r="B529" s="5" t="s">
        <v>1537</v>
      </c>
      <c r="C529" s="6" t="s">
        <v>49</v>
      </c>
      <c r="D529" s="5" t="s">
        <v>162</v>
      </c>
      <c r="E529" s="5" t="s">
        <v>163</v>
      </c>
      <c r="F529" s="5"/>
      <c r="G529" s="5"/>
      <c r="H529" s="5" t="s">
        <v>1538</v>
      </c>
      <c r="I529" s="5"/>
      <c r="J529" s="7" t="n">
        <v>1282</v>
      </c>
      <c r="K529" s="8" t="n">
        <v>3220</v>
      </c>
      <c r="L529" s="8" t="n">
        <v>24</v>
      </c>
      <c r="M529" s="8" t="n">
        <v>39254</v>
      </c>
      <c r="N529" s="8" t="n">
        <v>942100</v>
      </c>
      <c r="O529" s="5" t="n">
        <v>25.6</v>
      </c>
      <c r="P529" s="9" t="n">
        <v>1.36</v>
      </c>
      <c r="Q529" s="5" t="n">
        <v>2.28</v>
      </c>
      <c r="R529" s="5" t="s">
        <v>95</v>
      </c>
      <c r="S529" s="5" t="s">
        <v>1226</v>
      </c>
      <c r="T529" s="5" t="n">
        <v>21</v>
      </c>
      <c r="U529" s="5" t="s">
        <v>55</v>
      </c>
      <c r="V529" s="5" t="s">
        <v>1539</v>
      </c>
    </row>
    <row r="530" customFormat="false" ht="15" hidden="false" customHeight="false" outlineLevel="0" collapsed="false">
      <c r="A530" s="5" t="n">
        <v>529</v>
      </c>
      <c r="B530" s="5" t="s">
        <v>1540</v>
      </c>
      <c r="C530" s="6" t="s">
        <v>49</v>
      </c>
      <c r="D530" s="5" t="s">
        <v>129</v>
      </c>
      <c r="E530" s="5" t="s">
        <v>130</v>
      </c>
      <c r="F530" s="5"/>
      <c r="G530" s="5"/>
      <c r="H530" s="5" t="s">
        <v>1541</v>
      </c>
      <c r="I530" s="5"/>
      <c r="J530" s="7" t="n">
        <v>1273</v>
      </c>
      <c r="K530" s="8" t="n">
        <v>1840</v>
      </c>
      <c r="L530" s="8" t="n">
        <v>97</v>
      </c>
      <c r="M530" s="8" t="n">
        <v>4043</v>
      </c>
      <c r="N530" s="8" t="n">
        <v>238574</v>
      </c>
      <c r="O530" s="5" t="n">
        <v>67.7</v>
      </c>
      <c r="P530" s="9" t="n">
        <v>5.34</v>
      </c>
      <c r="Q530" s="5" t="n">
        <v>0.08</v>
      </c>
      <c r="R530" s="5" t="s">
        <v>95</v>
      </c>
      <c r="S530" s="5" t="s">
        <v>71</v>
      </c>
      <c r="T530" s="5" t="n">
        <v>153</v>
      </c>
      <c r="U530" s="5" t="s">
        <v>55</v>
      </c>
      <c r="V530" s="5" t="s">
        <v>1542</v>
      </c>
    </row>
    <row r="531" customFormat="false" ht="15" hidden="false" customHeight="false" outlineLevel="0" collapsed="false">
      <c r="A531" s="5" t="n">
        <v>530</v>
      </c>
      <c r="B531" s="5" t="s">
        <v>1543</v>
      </c>
      <c r="C531" s="6" t="s">
        <v>49</v>
      </c>
      <c r="D531" s="5" t="s">
        <v>739</v>
      </c>
      <c r="E531" s="5" t="s">
        <v>740</v>
      </c>
      <c r="F531" s="5" t="s">
        <v>76</v>
      </c>
      <c r="G531" s="5"/>
      <c r="H531" s="5" t="s">
        <v>581</v>
      </c>
      <c r="I531" s="5" t="s">
        <v>78</v>
      </c>
      <c r="J531" s="7" t="n">
        <v>1257</v>
      </c>
      <c r="K531" s="8" t="n">
        <v>2760</v>
      </c>
      <c r="L531" s="8" t="n">
        <v>83</v>
      </c>
      <c r="M531" s="8" t="n">
        <v>14263.23</v>
      </c>
      <c r="N531" s="8" t="n">
        <v>381565</v>
      </c>
      <c r="O531" s="5" t="n">
        <v>8.5</v>
      </c>
      <c r="P531" s="9" t="n">
        <v>3.29</v>
      </c>
      <c r="Q531" s="5" t="n">
        <v>0.54</v>
      </c>
      <c r="R531" s="5" t="s">
        <v>95</v>
      </c>
      <c r="S531" s="5" t="s">
        <v>165</v>
      </c>
      <c r="T531" s="5" t="n">
        <v>95</v>
      </c>
      <c r="U531" s="5" t="s">
        <v>80</v>
      </c>
      <c r="V531" s="5" t="s">
        <v>1544</v>
      </c>
    </row>
    <row r="532" customFormat="false" ht="15" hidden="false" customHeight="false" outlineLevel="0" collapsed="false">
      <c r="A532" s="5" t="n">
        <v>531</v>
      </c>
      <c r="B532" s="5" t="s">
        <v>1545</v>
      </c>
      <c r="C532" s="6" t="s">
        <v>49</v>
      </c>
      <c r="D532" s="5" t="s">
        <v>554</v>
      </c>
      <c r="E532" s="5" t="s">
        <v>555</v>
      </c>
      <c r="F532" s="5" t="s">
        <v>76</v>
      </c>
      <c r="G532" s="5" t="s">
        <v>101</v>
      </c>
      <c r="H532" s="5" t="s">
        <v>93</v>
      </c>
      <c r="I532" s="5" t="s">
        <v>94</v>
      </c>
      <c r="J532" s="7" t="n">
        <v>1257</v>
      </c>
      <c r="K532" s="8" t="n">
        <v>2720</v>
      </c>
      <c r="L532" s="8" t="n">
        <v>61</v>
      </c>
      <c r="M532" s="8" t="n">
        <v>7730.54</v>
      </c>
      <c r="N532" s="8" t="n">
        <v>162123</v>
      </c>
      <c r="O532" s="5" t="n">
        <v>45.8</v>
      </c>
      <c r="P532" s="9" t="n">
        <v>7.75</v>
      </c>
      <c r="Q532" s="5" t="n">
        <v>0.27</v>
      </c>
      <c r="R532" s="5" t="s">
        <v>53</v>
      </c>
      <c r="S532" s="5" t="s">
        <v>110</v>
      </c>
      <c r="T532" s="5" t="n">
        <v>34</v>
      </c>
      <c r="U532" s="5" t="s">
        <v>80</v>
      </c>
      <c r="V532" s="5" t="s">
        <v>1546</v>
      </c>
    </row>
    <row r="533" customFormat="false" ht="15" hidden="false" customHeight="false" outlineLevel="0" collapsed="false">
      <c r="A533" s="5" t="n">
        <v>532</v>
      </c>
      <c r="B533" s="5" t="s">
        <v>1547</v>
      </c>
      <c r="C533" s="6" t="s">
        <v>49</v>
      </c>
      <c r="D533" s="5" t="s">
        <v>792</v>
      </c>
      <c r="E533" s="5" t="s">
        <v>793</v>
      </c>
      <c r="F533" s="5"/>
      <c r="G533" s="5"/>
      <c r="H533" s="5" t="s">
        <v>1548</v>
      </c>
      <c r="I533" s="5"/>
      <c r="J533" s="7" t="n">
        <v>1257</v>
      </c>
      <c r="K533" s="8" t="n">
        <v>4080</v>
      </c>
      <c r="L533" s="8" t="n">
        <v>30</v>
      </c>
      <c r="M533" s="8" t="n">
        <v>15706</v>
      </c>
      <c r="N533" s="8" t="n">
        <v>715312</v>
      </c>
      <c r="O533" s="5" t="n">
        <v>13.1</v>
      </c>
      <c r="P533" s="9" t="n">
        <v>1.76</v>
      </c>
      <c r="Q533" s="5" t="n">
        <v>1.07</v>
      </c>
      <c r="R533" s="5" t="s">
        <v>95</v>
      </c>
      <c r="S533" s="5" t="s">
        <v>65</v>
      </c>
      <c r="T533" s="5" t="n">
        <v>30</v>
      </c>
      <c r="U533" s="5" t="s">
        <v>55</v>
      </c>
      <c r="V533" s="5" t="s">
        <v>1549</v>
      </c>
    </row>
    <row r="534" customFormat="false" ht="15" hidden="false" customHeight="false" outlineLevel="0" collapsed="false">
      <c r="A534" s="5" t="n">
        <v>533</v>
      </c>
      <c r="B534" s="5" t="s">
        <v>1550</v>
      </c>
      <c r="C534" s="6" t="s">
        <v>49</v>
      </c>
      <c r="D534" s="5" t="s">
        <v>404</v>
      </c>
      <c r="E534" s="5" t="s">
        <v>405</v>
      </c>
      <c r="F534" s="5" t="s">
        <v>76</v>
      </c>
      <c r="G534" s="5"/>
      <c r="H534" s="5" t="s">
        <v>131</v>
      </c>
      <c r="I534" s="5" t="s">
        <v>94</v>
      </c>
      <c r="J534" s="7" t="n">
        <v>1250</v>
      </c>
      <c r="K534" s="8" t="n">
        <v>7530</v>
      </c>
      <c r="L534" s="8" t="n">
        <v>99</v>
      </c>
      <c r="M534" s="8" t="n">
        <v>6246.36</v>
      </c>
      <c r="N534" s="8" t="n">
        <v>216768</v>
      </c>
      <c r="O534" s="5" t="n">
        <v>31.6</v>
      </c>
      <c r="P534" s="9" t="n">
        <v>5.76</v>
      </c>
      <c r="Q534" s="5" t="n">
        <v>0.07</v>
      </c>
      <c r="R534" s="5" t="s">
        <v>53</v>
      </c>
      <c r="S534" s="5" t="s">
        <v>116</v>
      </c>
      <c r="T534" s="5" t="n">
        <v>126</v>
      </c>
      <c r="U534" s="5" t="s">
        <v>80</v>
      </c>
      <c r="V534" s="5" t="s">
        <v>1551</v>
      </c>
    </row>
    <row r="535" customFormat="false" ht="15" hidden="false" customHeight="false" outlineLevel="0" collapsed="false">
      <c r="A535" s="5" t="n">
        <v>534</v>
      </c>
      <c r="B535" s="5" t="s">
        <v>1552</v>
      </c>
      <c r="C535" s="6" t="s">
        <v>49</v>
      </c>
      <c r="D535" s="5" t="s">
        <v>200</v>
      </c>
      <c r="E535" s="5" t="s">
        <v>201</v>
      </c>
      <c r="F535" s="5"/>
      <c r="G535" s="5"/>
      <c r="H535" s="5" t="s">
        <v>1553</v>
      </c>
      <c r="I535" s="5"/>
      <c r="J535" s="7" t="n">
        <v>1205</v>
      </c>
      <c r="K535" s="8" t="n">
        <v>3350</v>
      </c>
      <c r="L535" s="8" t="n">
        <v>124</v>
      </c>
      <c r="M535" s="8" t="n">
        <v>23748</v>
      </c>
      <c r="N535" s="8" t="n">
        <v>564250</v>
      </c>
      <c r="O535" s="5" t="n">
        <v>8.3</v>
      </c>
      <c r="P535" s="9" t="n">
        <v>2.13</v>
      </c>
      <c r="Q535" s="5" t="n">
        <v>2.12</v>
      </c>
      <c r="R535" s="5" t="s">
        <v>53</v>
      </c>
      <c r="S535" s="5" t="s">
        <v>1176</v>
      </c>
      <c r="T535" s="5" t="n">
        <v>92</v>
      </c>
      <c r="U535" s="5" t="s">
        <v>55</v>
      </c>
      <c r="V535" s="5" t="s">
        <v>1554</v>
      </c>
    </row>
    <row r="536" customFormat="false" ht="15" hidden="false" customHeight="false" outlineLevel="0" collapsed="false">
      <c r="A536" s="5" t="n">
        <v>535</v>
      </c>
      <c r="B536" s="5" t="s">
        <v>1555</v>
      </c>
      <c r="C536" s="6" t="s">
        <v>49</v>
      </c>
      <c r="D536" s="5" t="s">
        <v>1556</v>
      </c>
      <c r="E536" s="5" t="s">
        <v>1557</v>
      </c>
      <c r="F536" s="5" t="s">
        <v>76</v>
      </c>
      <c r="G536" s="5"/>
      <c r="H536" s="5" t="s">
        <v>131</v>
      </c>
      <c r="I536" s="5" t="s">
        <v>94</v>
      </c>
      <c r="J536" s="7" t="n">
        <v>1188</v>
      </c>
      <c r="K536" s="8" t="n">
        <v>6220</v>
      </c>
      <c r="L536" s="8" t="n">
        <v>55</v>
      </c>
      <c r="M536" s="8" t="n">
        <v>47817.37</v>
      </c>
      <c r="N536" s="8" t="n">
        <v>352832</v>
      </c>
      <c r="O536" s="5" t="n">
        <v>34.3</v>
      </c>
      <c r="P536" s="9" t="n">
        <v>3.37</v>
      </c>
      <c r="Q536" s="5" t="n">
        <v>0.38</v>
      </c>
      <c r="R536" s="5" t="s">
        <v>53</v>
      </c>
      <c r="S536" s="5" t="s">
        <v>165</v>
      </c>
      <c r="T536" s="5" t="n">
        <v>95</v>
      </c>
      <c r="U536" s="5" t="s">
        <v>80</v>
      </c>
      <c r="V536" s="5" t="s">
        <v>1558</v>
      </c>
    </row>
    <row r="537" customFormat="false" ht="15" hidden="false" customHeight="false" outlineLevel="0" collapsed="false">
      <c r="A537" s="5" t="n">
        <v>536</v>
      </c>
      <c r="B537" s="5" t="s">
        <v>1559</v>
      </c>
      <c r="C537" s="6" t="s">
        <v>49</v>
      </c>
      <c r="D537" s="5" t="s">
        <v>89</v>
      </c>
      <c r="E537" s="5" t="s">
        <v>90</v>
      </c>
      <c r="F537" s="5" t="s">
        <v>76</v>
      </c>
      <c r="G537" s="5" t="s">
        <v>101</v>
      </c>
      <c r="H537" s="5" t="s">
        <v>93</v>
      </c>
      <c r="I537" s="5" t="s">
        <v>94</v>
      </c>
      <c r="J537" s="7" t="n">
        <v>1187</v>
      </c>
      <c r="K537" s="8" t="n">
        <v>14800</v>
      </c>
      <c r="L537" s="8" t="n">
        <v>18</v>
      </c>
      <c r="M537" s="8" t="n">
        <v>133082.06</v>
      </c>
      <c r="N537" s="8" t="n">
        <v>353801</v>
      </c>
      <c r="O537" s="5" t="n">
        <v>28.9</v>
      </c>
      <c r="P537" s="9" t="n">
        <v>3.35</v>
      </c>
      <c r="Q537" s="5" t="n">
        <v>0.53</v>
      </c>
      <c r="R537" s="5" t="s">
        <v>53</v>
      </c>
      <c r="S537" s="5" t="s">
        <v>116</v>
      </c>
      <c r="T537" s="5" t="n">
        <v>126</v>
      </c>
      <c r="U537" s="5" t="s">
        <v>80</v>
      </c>
      <c r="V537" s="5" t="s">
        <v>1560</v>
      </c>
    </row>
    <row r="538" customFormat="false" ht="15" hidden="false" customHeight="false" outlineLevel="0" collapsed="false">
      <c r="A538" s="5" t="n">
        <v>537</v>
      </c>
      <c r="B538" s="5" t="s">
        <v>1561</v>
      </c>
      <c r="C538" s="6" t="s">
        <v>49</v>
      </c>
      <c r="D538" s="5" t="s">
        <v>1562</v>
      </c>
      <c r="E538" s="5" t="s">
        <v>1563</v>
      </c>
      <c r="F538" s="5"/>
      <c r="G538" s="5"/>
      <c r="H538" s="5" t="s">
        <v>1564</v>
      </c>
      <c r="I538" s="5"/>
      <c r="J538" s="7" t="n">
        <v>1186</v>
      </c>
      <c r="K538" s="8" t="n">
        <v>1700</v>
      </c>
      <c r="L538" s="8" t="n">
        <v>27</v>
      </c>
      <c r="M538" s="8" t="n">
        <v>76654</v>
      </c>
      <c r="N538" s="8" t="n">
        <v>727990</v>
      </c>
      <c r="O538" s="5" t="n">
        <v>12.5</v>
      </c>
      <c r="P538" s="9" t="n">
        <v>1.63</v>
      </c>
      <c r="Q538" s="5" t="n">
        <v>0.68</v>
      </c>
      <c r="R538" s="5" t="s">
        <v>53</v>
      </c>
      <c r="S538" s="5" t="s">
        <v>65</v>
      </c>
      <c r="T538" s="5" t="n">
        <v>30</v>
      </c>
      <c r="U538" s="5" t="s">
        <v>55</v>
      </c>
      <c r="V538" s="5" t="s">
        <v>1565</v>
      </c>
    </row>
    <row r="539" customFormat="false" ht="15" hidden="false" customHeight="false" outlineLevel="0" collapsed="false">
      <c r="A539" s="5" t="n">
        <v>538</v>
      </c>
      <c r="B539" s="5" t="s">
        <v>1566</v>
      </c>
      <c r="C539" s="6" t="s">
        <v>49</v>
      </c>
      <c r="D539" s="5" t="s">
        <v>89</v>
      </c>
      <c r="E539" s="5" t="s">
        <v>90</v>
      </c>
      <c r="F539" s="5" t="s">
        <v>76</v>
      </c>
      <c r="G539" s="5" t="s">
        <v>1567</v>
      </c>
      <c r="H539" s="5" t="s">
        <v>93</v>
      </c>
      <c r="I539" s="5" t="s">
        <v>94</v>
      </c>
      <c r="J539" s="7" t="n">
        <v>1180</v>
      </c>
      <c r="K539" s="8" t="n">
        <v>5600</v>
      </c>
      <c r="L539" s="8" t="n">
        <v>83</v>
      </c>
      <c r="M539" s="8" t="n">
        <v>33985.72</v>
      </c>
      <c r="N539" s="8" t="n">
        <v>475337</v>
      </c>
      <c r="O539" s="5" t="n">
        <v>17.3</v>
      </c>
      <c r="P539" s="9" t="n">
        <v>2.48</v>
      </c>
      <c r="Q539" s="5" t="n">
        <v>0.15</v>
      </c>
      <c r="R539" s="5" t="s">
        <v>95</v>
      </c>
      <c r="S539" s="5" t="s">
        <v>375</v>
      </c>
      <c r="T539" s="5" t="n">
        <v>125</v>
      </c>
      <c r="U539" s="5" t="s">
        <v>80</v>
      </c>
      <c r="V539" s="5" t="s">
        <v>1568</v>
      </c>
    </row>
    <row r="540" customFormat="false" ht="15" hidden="false" customHeight="false" outlineLevel="0" collapsed="false">
      <c r="A540" s="5" t="n">
        <v>539</v>
      </c>
      <c r="B540" s="5" t="s">
        <v>1569</v>
      </c>
      <c r="C540" s="6" t="s">
        <v>49</v>
      </c>
      <c r="D540" s="5" t="s">
        <v>575</v>
      </c>
      <c r="E540" s="5" t="s">
        <v>576</v>
      </c>
      <c r="F540" s="5" t="s">
        <v>212</v>
      </c>
      <c r="G540" s="5" t="s">
        <v>213</v>
      </c>
      <c r="H540" s="5" t="s">
        <v>412</v>
      </c>
      <c r="I540" s="5" t="s">
        <v>94</v>
      </c>
      <c r="J540" s="7" t="n">
        <v>1174</v>
      </c>
      <c r="K540" s="8" t="n">
        <v>13000</v>
      </c>
      <c r="L540" s="8" t="n">
        <v>42</v>
      </c>
      <c r="M540" s="8" t="n">
        <v>192050.43</v>
      </c>
      <c r="N540" s="8" t="n">
        <v>791966</v>
      </c>
      <c r="O540" s="5" t="n">
        <v>17.4</v>
      </c>
      <c r="P540" s="9" t="n">
        <v>1.48</v>
      </c>
      <c r="Q540" s="5" t="n">
        <v>3.25</v>
      </c>
      <c r="R540" s="5" t="s">
        <v>95</v>
      </c>
      <c r="S540" s="5" t="s">
        <v>375</v>
      </c>
      <c r="T540" s="5" t="n">
        <v>125</v>
      </c>
      <c r="U540" s="5" t="s">
        <v>80</v>
      </c>
      <c r="V540" s="5" t="s">
        <v>1570</v>
      </c>
    </row>
    <row r="541" customFormat="false" ht="15" hidden="false" customHeight="false" outlineLevel="0" collapsed="false">
      <c r="A541" s="5" t="n">
        <v>540</v>
      </c>
      <c r="B541" s="5" t="s">
        <v>1571</v>
      </c>
      <c r="C541" s="6" t="s">
        <v>49</v>
      </c>
      <c r="D541" s="5" t="s">
        <v>170</v>
      </c>
      <c r="E541" s="5" t="s">
        <v>171</v>
      </c>
      <c r="F541" s="5" t="s">
        <v>76</v>
      </c>
      <c r="G541" s="5" t="s">
        <v>101</v>
      </c>
      <c r="H541" s="5" t="s">
        <v>115</v>
      </c>
      <c r="I541" s="5" t="s">
        <v>94</v>
      </c>
      <c r="J541" s="7" t="n">
        <v>1163</v>
      </c>
      <c r="K541" s="8" t="n">
        <v>2380</v>
      </c>
      <c r="L541" s="8" t="n">
        <v>41</v>
      </c>
      <c r="M541" s="8" t="n">
        <v>33891.63</v>
      </c>
      <c r="N541" s="8" t="n">
        <v>185678</v>
      </c>
      <c r="O541" s="5" t="n">
        <v>147.2</v>
      </c>
      <c r="P541" s="9" t="n">
        <v>6.26</v>
      </c>
      <c r="Q541" s="5" t="n">
        <v>0.25</v>
      </c>
      <c r="R541" s="5" t="s">
        <v>95</v>
      </c>
      <c r="S541" s="5" t="s">
        <v>79</v>
      </c>
      <c r="T541" s="5" t="n">
        <v>96</v>
      </c>
      <c r="U541" s="5" t="s">
        <v>80</v>
      </c>
      <c r="V541" s="5" t="s">
        <v>1572</v>
      </c>
    </row>
    <row r="542" customFormat="false" ht="15" hidden="false" customHeight="false" outlineLevel="0" collapsed="false">
      <c r="A542" s="5" t="n">
        <v>541</v>
      </c>
      <c r="B542" s="5" t="s">
        <v>1573</v>
      </c>
      <c r="C542" s="6" t="s">
        <v>49</v>
      </c>
      <c r="D542" s="5" t="s">
        <v>196</v>
      </c>
      <c r="E542" s="5" t="s">
        <v>197</v>
      </c>
      <c r="F542" s="5" t="s">
        <v>76</v>
      </c>
      <c r="G542" s="5" t="s">
        <v>101</v>
      </c>
      <c r="H542" s="5" t="s">
        <v>412</v>
      </c>
      <c r="I542" s="5" t="s">
        <v>78</v>
      </c>
      <c r="J542" s="7" t="n">
        <v>1158</v>
      </c>
      <c r="K542" s="8" t="n">
        <v>3180</v>
      </c>
      <c r="L542" s="8" t="n">
        <v>46</v>
      </c>
      <c r="M542" s="8" t="n">
        <v>19769.13</v>
      </c>
      <c r="N542" s="8" t="n">
        <v>208621</v>
      </c>
      <c r="O542" s="5" t="n">
        <v>28.2</v>
      </c>
      <c r="P542" s="9" t="n">
        <v>5.55</v>
      </c>
      <c r="Q542" s="5" t="n">
        <v>0.25</v>
      </c>
      <c r="R542" s="5" t="s">
        <v>53</v>
      </c>
      <c r="S542" s="5" t="s">
        <v>96</v>
      </c>
      <c r="T542" s="5" t="n">
        <v>33</v>
      </c>
      <c r="U542" s="5" t="s">
        <v>80</v>
      </c>
      <c r="V542" s="5" t="s">
        <v>1574</v>
      </c>
    </row>
    <row r="543" customFormat="false" ht="15" hidden="false" customHeight="false" outlineLevel="0" collapsed="false">
      <c r="A543" s="5" t="n">
        <v>542</v>
      </c>
      <c r="B543" s="5" t="s">
        <v>1575</v>
      </c>
      <c r="C543" s="6" t="s">
        <v>49</v>
      </c>
      <c r="D543" s="5" t="s">
        <v>274</v>
      </c>
      <c r="E543" s="5" t="s">
        <v>275</v>
      </c>
      <c r="F543" s="5" t="s">
        <v>76</v>
      </c>
      <c r="G543" s="5" t="s">
        <v>101</v>
      </c>
      <c r="H543" s="5" t="s">
        <v>131</v>
      </c>
      <c r="I543" s="5" t="s">
        <v>94</v>
      </c>
      <c r="J543" s="7" t="n">
        <v>1154</v>
      </c>
      <c r="K543" s="8" t="n">
        <v>11700</v>
      </c>
      <c r="L543" s="8" t="n">
        <v>66</v>
      </c>
      <c r="M543" s="8" t="n">
        <v>71752.78</v>
      </c>
      <c r="N543" s="8" t="n">
        <v>341455</v>
      </c>
      <c r="O543" s="5" t="n">
        <v>15.1</v>
      </c>
      <c r="P543" s="9" t="n">
        <v>3.38</v>
      </c>
      <c r="Q543" s="5" t="n">
        <v>1.8</v>
      </c>
      <c r="R543" s="5" t="s">
        <v>53</v>
      </c>
      <c r="S543" s="5" t="s">
        <v>116</v>
      </c>
      <c r="T543" s="5" t="n">
        <v>126</v>
      </c>
      <c r="U543" s="5" t="s">
        <v>80</v>
      </c>
      <c r="V543" s="5" t="s">
        <v>1576</v>
      </c>
    </row>
    <row r="544" customFormat="false" ht="15" hidden="false" customHeight="false" outlineLevel="0" collapsed="false">
      <c r="A544" s="5" t="n">
        <v>543</v>
      </c>
      <c r="B544" s="5" t="s">
        <v>1577</v>
      </c>
      <c r="C544" s="6" t="s">
        <v>49</v>
      </c>
      <c r="D544" s="5" t="s">
        <v>129</v>
      </c>
      <c r="E544" s="5" t="s">
        <v>130</v>
      </c>
      <c r="F544" s="5" t="s">
        <v>212</v>
      </c>
      <c r="G544" s="5" t="s">
        <v>101</v>
      </c>
      <c r="H544" s="5" t="s">
        <v>131</v>
      </c>
      <c r="I544" s="5" t="s">
        <v>94</v>
      </c>
      <c r="J544" s="7" t="n">
        <v>1143</v>
      </c>
      <c r="K544" s="8" t="n">
        <v>1650</v>
      </c>
      <c r="L544" s="8" t="n">
        <v>25</v>
      </c>
      <c r="M544" s="8" t="n">
        <v>36127.28</v>
      </c>
      <c r="N544" s="8" t="n">
        <v>265684</v>
      </c>
      <c r="O544" s="5" t="n">
        <v>61.9</v>
      </c>
      <c r="P544" s="9" t="n">
        <v>4.3</v>
      </c>
      <c r="Q544" s="5" t="n">
        <v>2.18</v>
      </c>
      <c r="R544" s="5" t="s">
        <v>95</v>
      </c>
      <c r="S544" s="5" t="s">
        <v>730</v>
      </c>
      <c r="T544" s="5" t="n">
        <v>124</v>
      </c>
      <c r="U544" s="5" t="s">
        <v>80</v>
      </c>
      <c r="V544" s="5" t="s">
        <v>1578</v>
      </c>
    </row>
    <row r="545" customFormat="false" ht="15" hidden="false" customHeight="false" outlineLevel="0" collapsed="false">
      <c r="A545" s="5" t="n">
        <v>544</v>
      </c>
      <c r="B545" s="5" t="s">
        <v>1579</v>
      </c>
      <c r="C545" s="6" t="s">
        <v>49</v>
      </c>
      <c r="D545" s="5" t="s">
        <v>510</v>
      </c>
      <c r="E545" s="5" t="s">
        <v>511</v>
      </c>
      <c r="F545" s="5" t="s">
        <v>212</v>
      </c>
      <c r="G545" s="5" t="s">
        <v>1580</v>
      </c>
      <c r="H545" s="5" t="s">
        <v>905</v>
      </c>
      <c r="I545" s="5" t="s">
        <v>109</v>
      </c>
      <c r="J545" s="7" t="n">
        <v>1143</v>
      </c>
      <c r="K545" s="8" t="n">
        <v>7960</v>
      </c>
      <c r="L545" s="8" t="n">
        <v>26</v>
      </c>
      <c r="M545" s="8" t="n">
        <v>103722.85</v>
      </c>
      <c r="N545" s="8" t="n">
        <v>900979</v>
      </c>
      <c r="O545" s="5" t="n">
        <v>15.4</v>
      </c>
      <c r="P545" s="9" t="n">
        <v>1.27</v>
      </c>
      <c r="Q545" s="5" t="n">
        <v>3.53</v>
      </c>
      <c r="R545" s="5" t="s">
        <v>95</v>
      </c>
      <c r="S545" s="5" t="s">
        <v>184</v>
      </c>
      <c r="T545" s="5" t="n">
        <v>64</v>
      </c>
      <c r="U545" s="5" t="s">
        <v>80</v>
      </c>
      <c r="V545" s="5" t="s">
        <v>1581</v>
      </c>
    </row>
    <row r="546" customFormat="false" ht="15" hidden="false" customHeight="false" outlineLevel="0" collapsed="false">
      <c r="A546" s="5" t="n">
        <v>545</v>
      </c>
      <c r="B546" s="5" t="s">
        <v>1582</v>
      </c>
      <c r="C546" s="6" t="s">
        <v>49</v>
      </c>
      <c r="D546" s="5" t="s">
        <v>83</v>
      </c>
      <c r="E546" s="5" t="s">
        <v>84</v>
      </c>
      <c r="F546" s="5" t="s">
        <v>76</v>
      </c>
      <c r="G546" s="5" t="s">
        <v>1583</v>
      </c>
      <c r="H546" s="5" t="s">
        <v>656</v>
      </c>
      <c r="I546" s="5" t="s">
        <v>78</v>
      </c>
      <c r="J546" s="7" t="n">
        <v>1137</v>
      </c>
      <c r="K546" s="8" t="n">
        <v>7120</v>
      </c>
      <c r="L546" s="8" t="n">
        <v>36</v>
      </c>
      <c r="M546" s="8" t="n">
        <v>50679.53</v>
      </c>
      <c r="N546" s="8" t="n">
        <v>617338</v>
      </c>
      <c r="O546" s="5" t="n">
        <v>12.1</v>
      </c>
      <c r="P546" s="9" t="n">
        <v>1.84</v>
      </c>
      <c r="Q546" s="5" t="n">
        <v>1.06</v>
      </c>
      <c r="R546" s="5" t="s">
        <v>53</v>
      </c>
      <c r="S546" s="5" t="s">
        <v>79</v>
      </c>
      <c r="T546" s="5" t="n">
        <v>96</v>
      </c>
      <c r="U546" s="5" t="s">
        <v>80</v>
      </c>
      <c r="V546" s="5" t="s">
        <v>1584</v>
      </c>
    </row>
    <row r="547" customFormat="false" ht="15" hidden="false" customHeight="false" outlineLevel="0" collapsed="false">
      <c r="A547" s="5" t="n">
        <v>546</v>
      </c>
      <c r="B547" s="5" t="s">
        <v>1585</v>
      </c>
      <c r="C547" s="6" t="s">
        <v>49</v>
      </c>
      <c r="D547" s="5" t="s">
        <v>210</v>
      </c>
      <c r="E547" s="5" t="s">
        <v>211</v>
      </c>
      <c r="F547" s="5" t="s">
        <v>76</v>
      </c>
      <c r="G547" s="5" t="s">
        <v>101</v>
      </c>
      <c r="H547" s="5" t="s">
        <v>214</v>
      </c>
      <c r="I547" s="5" t="s">
        <v>94</v>
      </c>
      <c r="J547" s="7" t="n">
        <v>1132</v>
      </c>
      <c r="K547" s="8" t="n">
        <v>4300</v>
      </c>
      <c r="L547" s="8" t="n">
        <v>57</v>
      </c>
      <c r="M547" s="8" t="n">
        <v>22240.42</v>
      </c>
      <c r="N547" s="8" t="n">
        <v>450502</v>
      </c>
      <c r="O547" s="5" t="n">
        <v>20.4</v>
      </c>
      <c r="P547" s="9" t="n">
        <v>2.51</v>
      </c>
      <c r="Q547" s="5" t="n">
        <v>1.21</v>
      </c>
      <c r="R547" s="5" t="s">
        <v>53</v>
      </c>
      <c r="S547" s="5" t="s">
        <v>79</v>
      </c>
      <c r="T547" s="5" t="n">
        <v>96</v>
      </c>
      <c r="U547" s="5" t="s">
        <v>80</v>
      </c>
      <c r="V547" s="5" t="s">
        <v>1586</v>
      </c>
    </row>
    <row r="548" customFormat="false" ht="15" hidden="false" customHeight="false" outlineLevel="0" collapsed="false">
      <c r="A548" s="5" t="n">
        <v>547</v>
      </c>
      <c r="B548" s="5" t="s">
        <v>1587</v>
      </c>
      <c r="C548" s="6" t="s">
        <v>49</v>
      </c>
      <c r="D548" s="5" t="s">
        <v>974</v>
      </c>
      <c r="E548" s="5" t="s">
        <v>975</v>
      </c>
      <c r="F548" s="5" t="s">
        <v>76</v>
      </c>
      <c r="G548" s="5" t="s">
        <v>101</v>
      </c>
      <c r="H548" s="5" t="s">
        <v>512</v>
      </c>
      <c r="I548" s="5" t="s">
        <v>94</v>
      </c>
      <c r="J548" s="7" t="n">
        <v>1129</v>
      </c>
      <c r="K548" s="8" t="n">
        <v>3650</v>
      </c>
      <c r="L548" s="8" t="n">
        <v>84</v>
      </c>
      <c r="M548" s="8" t="n">
        <v>16510.14</v>
      </c>
      <c r="N548" s="8" t="n">
        <v>409529</v>
      </c>
      <c r="O548" s="5" t="n">
        <v>10.5</v>
      </c>
      <c r="P548" s="9" t="n">
        <v>2.76</v>
      </c>
      <c r="Q548" s="5" t="n">
        <v>1.65</v>
      </c>
      <c r="R548" s="5" t="s">
        <v>95</v>
      </c>
      <c r="S548" s="5" t="s">
        <v>165</v>
      </c>
      <c r="T548" s="5" t="n">
        <v>95</v>
      </c>
      <c r="U548" s="5" t="s">
        <v>80</v>
      </c>
      <c r="V548" s="5" t="s">
        <v>1588</v>
      </c>
    </row>
    <row r="549" customFormat="false" ht="15" hidden="false" customHeight="false" outlineLevel="0" collapsed="false">
      <c r="A549" s="5" t="n">
        <v>548</v>
      </c>
      <c r="B549" s="5" t="s">
        <v>1589</v>
      </c>
      <c r="C549" s="6" t="s">
        <v>49</v>
      </c>
      <c r="D549" s="5" t="s">
        <v>1590</v>
      </c>
      <c r="E549" s="5" t="s">
        <v>1591</v>
      </c>
      <c r="F549" s="5" t="s">
        <v>76</v>
      </c>
      <c r="G549" s="5" t="s">
        <v>101</v>
      </c>
      <c r="H549" s="5" t="s">
        <v>637</v>
      </c>
      <c r="I549" s="5" t="s">
        <v>518</v>
      </c>
      <c r="J549" s="7" t="n">
        <v>1113</v>
      </c>
      <c r="K549" s="8" t="n">
        <v>27500</v>
      </c>
      <c r="L549" s="8" t="n">
        <v>91</v>
      </c>
      <c r="M549" s="8" t="n">
        <v>159821.98</v>
      </c>
      <c r="N549" s="8" t="n">
        <v>1361493</v>
      </c>
      <c r="O549" s="5" t="n">
        <v>30.6</v>
      </c>
      <c r="P549" s="9" t="n">
        <v>0.82</v>
      </c>
      <c r="Q549" s="5" t="n">
        <v>3.6</v>
      </c>
      <c r="R549" s="5" t="s">
        <v>53</v>
      </c>
      <c r="S549" s="5" t="s">
        <v>375</v>
      </c>
      <c r="T549" s="5" t="n">
        <v>125</v>
      </c>
      <c r="U549" s="5" t="s">
        <v>80</v>
      </c>
      <c r="V549" s="5" t="s">
        <v>1592</v>
      </c>
    </row>
    <row r="550" customFormat="false" ht="15" hidden="false" customHeight="false" outlineLevel="0" collapsed="false">
      <c r="A550" s="5" t="n">
        <v>549</v>
      </c>
      <c r="B550" s="5" t="s">
        <v>1593</v>
      </c>
      <c r="C550" s="6" t="s">
        <v>49</v>
      </c>
      <c r="D550" s="5" t="s">
        <v>74</v>
      </c>
      <c r="E550" s="5" t="s">
        <v>75</v>
      </c>
      <c r="F550" s="5" t="s">
        <v>76</v>
      </c>
      <c r="G550" s="5" t="s">
        <v>101</v>
      </c>
      <c r="H550" s="5" t="s">
        <v>77</v>
      </c>
      <c r="I550" s="5" t="s">
        <v>78</v>
      </c>
      <c r="J550" s="7" t="n">
        <v>1113</v>
      </c>
      <c r="K550" s="8" t="n">
        <v>20700</v>
      </c>
      <c r="L550" s="8" t="n">
        <v>152</v>
      </c>
      <c r="M550" s="8" t="n">
        <v>33026.32</v>
      </c>
      <c r="N550" s="8" t="n">
        <v>868567</v>
      </c>
      <c r="O550" s="5" t="n">
        <v>19.4</v>
      </c>
      <c r="P550" s="9" t="n">
        <v>1.28</v>
      </c>
      <c r="Q550" s="5" t="n">
        <v>0.52</v>
      </c>
      <c r="R550" s="5" t="s">
        <v>53</v>
      </c>
      <c r="S550" s="5" t="s">
        <v>375</v>
      </c>
      <c r="T550" s="5" t="n">
        <v>125</v>
      </c>
      <c r="U550" s="5" t="s">
        <v>80</v>
      </c>
      <c r="V550" s="5" t="s">
        <v>1594</v>
      </c>
    </row>
    <row r="551" customFormat="false" ht="15" hidden="false" customHeight="false" outlineLevel="0" collapsed="false">
      <c r="A551" s="5" t="n">
        <v>550</v>
      </c>
      <c r="B551" s="5" t="s">
        <v>1595</v>
      </c>
      <c r="C551" s="6" t="s">
        <v>49</v>
      </c>
      <c r="D551" s="5" t="s">
        <v>575</v>
      </c>
      <c r="E551" s="5" t="s">
        <v>576</v>
      </c>
      <c r="F551" s="5"/>
      <c r="G551" s="5"/>
      <c r="H551" s="5" t="s">
        <v>1596</v>
      </c>
      <c r="I551" s="5"/>
      <c r="J551" s="7" t="n">
        <v>1113</v>
      </c>
      <c r="K551" s="8" t="n">
        <v>2310</v>
      </c>
      <c r="L551" s="8" t="n">
        <v>128</v>
      </c>
      <c r="M551" s="8" t="n">
        <v>8634</v>
      </c>
      <c r="N551" s="8" t="n">
        <v>347491</v>
      </c>
      <c r="O551" s="5" t="n">
        <v>18.5</v>
      </c>
      <c r="P551" s="9" t="n">
        <v>3.2</v>
      </c>
      <c r="Q551" s="5" t="n">
        <v>0.94</v>
      </c>
      <c r="R551" s="5" t="s">
        <v>95</v>
      </c>
      <c r="S551" s="5" t="s">
        <v>71</v>
      </c>
      <c r="T551" s="5" t="n">
        <v>153</v>
      </c>
      <c r="U551" s="5" t="s">
        <v>55</v>
      </c>
      <c r="V551" s="5" t="s">
        <v>1597</v>
      </c>
    </row>
    <row r="552" customFormat="false" ht="15" hidden="false" customHeight="false" outlineLevel="0" collapsed="false">
      <c r="A552" s="5" t="n">
        <v>551</v>
      </c>
      <c r="B552" s="5" t="s">
        <v>1598</v>
      </c>
      <c r="C552" s="6" t="s">
        <v>49</v>
      </c>
      <c r="D552" s="5" t="s">
        <v>200</v>
      </c>
      <c r="E552" s="5" t="s">
        <v>201</v>
      </c>
      <c r="F552" s="5" t="s">
        <v>76</v>
      </c>
      <c r="G552" s="5" t="s">
        <v>101</v>
      </c>
      <c r="H552" s="5" t="s">
        <v>265</v>
      </c>
      <c r="I552" s="5" t="s">
        <v>78</v>
      </c>
      <c r="J552" s="7" t="n">
        <v>1108</v>
      </c>
      <c r="K552" s="8" t="n">
        <v>3800</v>
      </c>
      <c r="L552" s="8" t="n">
        <v>80</v>
      </c>
      <c r="M552" s="8" t="n">
        <v>13183.94</v>
      </c>
      <c r="N552" s="8" t="n">
        <v>353440</v>
      </c>
      <c r="O552" s="5" t="n">
        <v>23.4</v>
      </c>
      <c r="P552" s="9" t="n">
        <v>3.14</v>
      </c>
      <c r="Q552" s="5" t="n">
        <v>1.24</v>
      </c>
      <c r="R552" s="5" t="s">
        <v>95</v>
      </c>
      <c r="S552" s="5" t="s">
        <v>165</v>
      </c>
      <c r="T552" s="5" t="n">
        <v>95</v>
      </c>
      <c r="U552" s="5" t="s">
        <v>80</v>
      </c>
      <c r="V552" s="5" t="s">
        <v>1599</v>
      </c>
    </row>
    <row r="553" customFormat="false" ht="15" hidden="false" customHeight="false" outlineLevel="0" collapsed="false">
      <c r="A553" s="5" t="n">
        <v>552</v>
      </c>
      <c r="B553" s="5" t="s">
        <v>1600</v>
      </c>
      <c r="C553" s="6" t="s">
        <v>49</v>
      </c>
      <c r="D553" s="5" t="s">
        <v>708</v>
      </c>
      <c r="E553" s="5" t="s">
        <v>709</v>
      </c>
      <c r="F553" s="5" t="s">
        <v>76</v>
      </c>
      <c r="G553" s="5"/>
      <c r="H553" s="5" t="s">
        <v>621</v>
      </c>
      <c r="I553" s="5" t="s">
        <v>94</v>
      </c>
      <c r="J553" s="7" t="n">
        <v>1089</v>
      </c>
      <c r="K553" s="8" t="n">
        <v>1230</v>
      </c>
      <c r="L553" s="8" t="n">
        <v>25</v>
      </c>
      <c r="M553" s="8" t="n">
        <v>12956.84</v>
      </c>
      <c r="N553" s="8" t="n">
        <v>69559</v>
      </c>
      <c r="O553" s="5" t="n">
        <v>16.8</v>
      </c>
      <c r="P553" s="9" t="n">
        <v>15.65</v>
      </c>
      <c r="Q553" s="5" t="n">
        <v>0.23</v>
      </c>
      <c r="R553" s="5" t="s">
        <v>95</v>
      </c>
      <c r="S553" s="5" t="s">
        <v>79</v>
      </c>
      <c r="T553" s="5" t="n">
        <v>96</v>
      </c>
      <c r="U553" s="5" t="s">
        <v>80</v>
      </c>
      <c r="V553" s="5" t="s">
        <v>1601</v>
      </c>
    </row>
    <row r="554" customFormat="false" ht="15" hidden="false" customHeight="false" outlineLevel="0" collapsed="false">
      <c r="A554" s="5" t="n">
        <v>553</v>
      </c>
      <c r="B554" s="5" t="s">
        <v>1602</v>
      </c>
      <c r="C554" s="6" t="s">
        <v>49</v>
      </c>
      <c r="D554" s="5" t="s">
        <v>217</v>
      </c>
      <c r="E554" s="5" t="s">
        <v>218</v>
      </c>
      <c r="F554" s="5" t="s">
        <v>76</v>
      </c>
      <c r="G554" s="5" t="s">
        <v>101</v>
      </c>
      <c r="H554" s="5" t="s">
        <v>415</v>
      </c>
      <c r="I554" s="5" t="s">
        <v>78</v>
      </c>
      <c r="J554" s="7" t="n">
        <v>1077</v>
      </c>
      <c r="K554" s="8" t="n">
        <v>2550</v>
      </c>
      <c r="L554" s="8" t="n">
        <v>44</v>
      </c>
      <c r="M554" s="8" t="n">
        <v>24334.39</v>
      </c>
      <c r="N554" s="8" t="n">
        <v>331248</v>
      </c>
      <c r="O554" s="5" t="n">
        <v>12.3</v>
      </c>
      <c r="P554" s="9" t="n">
        <v>3.25</v>
      </c>
      <c r="Q554" s="5" t="n">
        <v>1.57</v>
      </c>
      <c r="R554" s="5" t="s">
        <v>53</v>
      </c>
      <c r="S554" s="5" t="s">
        <v>165</v>
      </c>
      <c r="T554" s="5" t="n">
        <v>95</v>
      </c>
      <c r="U554" s="5" t="s">
        <v>80</v>
      </c>
      <c r="V554" s="5" t="s">
        <v>1603</v>
      </c>
    </row>
    <row r="555" customFormat="false" ht="15" hidden="false" customHeight="false" outlineLevel="0" collapsed="false">
      <c r="A555" s="5" t="n">
        <v>554</v>
      </c>
      <c r="B555" s="5" t="s">
        <v>1604</v>
      </c>
      <c r="C555" s="6" t="s">
        <v>49</v>
      </c>
      <c r="D555" s="5" t="s">
        <v>129</v>
      </c>
      <c r="E555" s="5" t="s">
        <v>130</v>
      </c>
      <c r="F555" s="5" t="s">
        <v>76</v>
      </c>
      <c r="G555" s="5"/>
      <c r="H555" s="5" t="s">
        <v>131</v>
      </c>
      <c r="I555" s="5" t="s">
        <v>94</v>
      </c>
      <c r="J555" s="7" t="n">
        <v>1076</v>
      </c>
      <c r="K555" s="8" t="n">
        <v>22700</v>
      </c>
      <c r="L555" s="8" t="n">
        <v>29</v>
      </c>
      <c r="M555" s="8" t="n">
        <v>107847.86</v>
      </c>
      <c r="N555" s="8" t="n">
        <v>455821</v>
      </c>
      <c r="O555" s="5" t="n">
        <v>23.8</v>
      </c>
      <c r="P555" s="9" t="n">
        <v>2.36</v>
      </c>
      <c r="Q555" s="5" t="n">
        <v>2.8</v>
      </c>
      <c r="R555" s="5" t="s">
        <v>95</v>
      </c>
      <c r="S555" s="5" t="s">
        <v>184</v>
      </c>
      <c r="T555" s="5" t="n">
        <v>64</v>
      </c>
      <c r="U555" s="5" t="s">
        <v>80</v>
      </c>
      <c r="V555" s="5" t="s">
        <v>1605</v>
      </c>
    </row>
    <row r="556" customFormat="false" ht="15" hidden="false" customHeight="false" outlineLevel="0" collapsed="false">
      <c r="A556" s="5" t="n">
        <v>555</v>
      </c>
      <c r="B556" s="5" t="s">
        <v>1606</v>
      </c>
      <c r="C556" s="6" t="s">
        <v>49</v>
      </c>
      <c r="D556" s="5" t="s">
        <v>83</v>
      </c>
      <c r="E556" s="5" t="s">
        <v>84</v>
      </c>
      <c r="F556" s="5" t="s">
        <v>76</v>
      </c>
      <c r="G556" s="5" t="s">
        <v>101</v>
      </c>
      <c r="H556" s="5" t="s">
        <v>656</v>
      </c>
      <c r="I556" s="5" t="s">
        <v>78</v>
      </c>
      <c r="J556" s="7" t="n">
        <v>1072</v>
      </c>
      <c r="K556" s="8" t="n">
        <v>2660</v>
      </c>
      <c r="L556" s="8" t="n">
        <v>13</v>
      </c>
      <c r="M556" s="8" t="n">
        <v>244480.67</v>
      </c>
      <c r="N556" s="8" t="n">
        <v>529404</v>
      </c>
      <c r="O556" s="5" t="n">
        <v>14</v>
      </c>
      <c r="P556" s="9" t="n">
        <v>2.03</v>
      </c>
      <c r="Q556" s="5" t="n">
        <v>0.32</v>
      </c>
      <c r="R556" s="5" t="s">
        <v>53</v>
      </c>
      <c r="S556" s="5" t="s">
        <v>79</v>
      </c>
      <c r="T556" s="5" t="n">
        <v>96</v>
      </c>
      <c r="U556" s="5" t="s">
        <v>80</v>
      </c>
      <c r="V556" s="5" t="s">
        <v>1607</v>
      </c>
    </row>
    <row r="557" customFormat="false" ht="15" hidden="false" customHeight="false" outlineLevel="0" collapsed="false">
      <c r="A557" s="5" t="n">
        <v>556</v>
      </c>
      <c r="B557" s="5" t="s">
        <v>1608</v>
      </c>
      <c r="C557" s="6" t="s">
        <v>49</v>
      </c>
      <c r="D557" s="5" t="s">
        <v>99</v>
      </c>
      <c r="E557" s="5" t="s">
        <v>100</v>
      </c>
      <c r="F557" s="5" t="s">
        <v>76</v>
      </c>
      <c r="G557" s="5" t="s">
        <v>101</v>
      </c>
      <c r="H557" s="5" t="s">
        <v>279</v>
      </c>
      <c r="I557" s="5" t="s">
        <v>94</v>
      </c>
      <c r="J557" s="7" t="n">
        <v>1069</v>
      </c>
      <c r="K557" s="8" t="n">
        <v>16300</v>
      </c>
      <c r="L557" s="8" t="n">
        <v>140</v>
      </c>
      <c r="M557" s="8" t="n">
        <v>11673.92</v>
      </c>
      <c r="N557" s="8" t="n">
        <v>241150</v>
      </c>
      <c r="O557" s="5" t="n">
        <v>108.6</v>
      </c>
      <c r="P557" s="9" t="n">
        <v>4.43</v>
      </c>
      <c r="Q557" s="5" t="n">
        <v>0.4</v>
      </c>
      <c r="R557" s="5" t="s">
        <v>95</v>
      </c>
      <c r="S557" s="5" t="s">
        <v>116</v>
      </c>
      <c r="T557" s="5" t="n">
        <v>126</v>
      </c>
      <c r="U557" s="5" t="s">
        <v>80</v>
      </c>
      <c r="V557" s="5" t="s">
        <v>1609</v>
      </c>
    </row>
    <row r="558" customFormat="false" ht="15" hidden="false" customHeight="false" outlineLevel="0" collapsed="false">
      <c r="A558" s="5" t="n">
        <v>557</v>
      </c>
      <c r="B558" s="5" t="s">
        <v>1610</v>
      </c>
      <c r="C558" s="6" t="s">
        <v>49</v>
      </c>
      <c r="D558" s="5" t="s">
        <v>545</v>
      </c>
      <c r="E558" s="5" t="s">
        <v>546</v>
      </c>
      <c r="F558" s="5" t="s">
        <v>76</v>
      </c>
      <c r="G558" s="5" t="s">
        <v>101</v>
      </c>
      <c r="H558" s="5" t="s">
        <v>382</v>
      </c>
      <c r="I558" s="5" t="s">
        <v>94</v>
      </c>
      <c r="J558" s="7" t="n">
        <v>1056</v>
      </c>
      <c r="K558" s="8" t="n">
        <v>23100</v>
      </c>
      <c r="L558" s="8" t="n">
        <v>65</v>
      </c>
      <c r="M558" s="8" t="n">
        <v>41554.23</v>
      </c>
      <c r="N558" s="8" t="n">
        <v>306543</v>
      </c>
      <c r="O558" s="5" t="n">
        <v>17.8</v>
      </c>
      <c r="P558" s="9" t="n">
        <v>3.45</v>
      </c>
      <c r="Q558" s="5" t="n">
        <v>0.19</v>
      </c>
      <c r="R558" s="5" t="s">
        <v>53</v>
      </c>
      <c r="S558" s="5" t="s">
        <v>375</v>
      </c>
      <c r="T558" s="5" t="n">
        <v>125</v>
      </c>
      <c r="U558" s="5" t="s">
        <v>80</v>
      </c>
      <c r="V558" s="5" t="s">
        <v>1611</v>
      </c>
    </row>
    <row r="559" customFormat="false" ht="15" hidden="false" customHeight="false" outlineLevel="0" collapsed="false">
      <c r="A559" s="5" t="n">
        <v>558</v>
      </c>
      <c r="B559" s="5" t="s">
        <v>1612</v>
      </c>
      <c r="C559" s="6" t="s">
        <v>49</v>
      </c>
      <c r="D559" s="5" t="s">
        <v>83</v>
      </c>
      <c r="E559" s="5" t="s">
        <v>84</v>
      </c>
      <c r="F559" s="5"/>
      <c r="G559" s="5"/>
      <c r="H559" s="5" t="s">
        <v>1613</v>
      </c>
      <c r="I559" s="5"/>
      <c r="J559" s="7" t="n">
        <v>1035</v>
      </c>
      <c r="K559" s="8" t="n">
        <v>3160</v>
      </c>
      <c r="L559" s="8" t="n">
        <v>61</v>
      </c>
      <c r="M559" s="8" t="n">
        <v>5072</v>
      </c>
      <c r="N559" s="8" t="n">
        <v>334087</v>
      </c>
      <c r="O559" s="5" t="n">
        <v>17.9</v>
      </c>
      <c r="P559" s="9" t="n">
        <v>3.1</v>
      </c>
      <c r="Q559" s="5" t="n">
        <v>1.18</v>
      </c>
      <c r="R559" s="5" t="s">
        <v>53</v>
      </c>
      <c r="S559" s="5" t="s">
        <v>54</v>
      </c>
      <c r="T559" s="5" t="n">
        <v>28</v>
      </c>
      <c r="U559" s="5" t="s">
        <v>55</v>
      </c>
      <c r="V559" s="5" t="s">
        <v>1614</v>
      </c>
    </row>
    <row r="560" customFormat="false" ht="15" hidden="false" customHeight="false" outlineLevel="0" collapsed="false">
      <c r="A560" s="5" t="n">
        <v>559</v>
      </c>
      <c r="B560" s="5" t="s">
        <v>1615</v>
      </c>
      <c r="C560" s="6" t="s">
        <v>49</v>
      </c>
      <c r="D560" s="5" t="s">
        <v>418</v>
      </c>
      <c r="E560" s="5" t="s">
        <v>419</v>
      </c>
      <c r="F560" s="5" t="s">
        <v>76</v>
      </c>
      <c r="G560" s="5" t="s">
        <v>101</v>
      </c>
      <c r="H560" s="5" t="s">
        <v>581</v>
      </c>
      <c r="I560" s="5" t="s">
        <v>109</v>
      </c>
      <c r="J560" s="7" t="n">
        <v>1034</v>
      </c>
      <c r="K560" s="8" t="n">
        <v>25800</v>
      </c>
      <c r="L560" s="8" t="n">
        <v>13</v>
      </c>
      <c r="M560" s="8" t="n">
        <v>53884.62</v>
      </c>
      <c r="N560" s="8" t="n">
        <v>213772</v>
      </c>
      <c r="O560" s="5" t="n">
        <v>23.5</v>
      </c>
      <c r="P560" s="9" t="n">
        <v>4.84</v>
      </c>
      <c r="Q560" s="5" t="n">
        <v>2.6</v>
      </c>
      <c r="R560" s="5" t="s">
        <v>53</v>
      </c>
      <c r="S560" s="5" t="s">
        <v>103</v>
      </c>
      <c r="T560" s="5" t="n">
        <v>65</v>
      </c>
      <c r="U560" s="5" t="s">
        <v>80</v>
      </c>
      <c r="V560" s="5" t="s">
        <v>1616</v>
      </c>
    </row>
    <row r="561" customFormat="false" ht="15" hidden="false" customHeight="false" outlineLevel="0" collapsed="false">
      <c r="A561" s="5" t="n">
        <v>560</v>
      </c>
      <c r="B561" s="5" t="s">
        <v>1617</v>
      </c>
      <c r="C561" s="6" t="s">
        <v>49</v>
      </c>
      <c r="D561" s="5" t="s">
        <v>162</v>
      </c>
      <c r="E561" s="5" t="s">
        <v>163</v>
      </c>
      <c r="F561" s="5"/>
      <c r="G561" s="5"/>
      <c r="H561" s="5" t="s">
        <v>1618</v>
      </c>
      <c r="I561" s="5"/>
      <c r="J561" s="7" t="n">
        <v>1016</v>
      </c>
      <c r="K561" s="8" t="n">
        <v>16600</v>
      </c>
      <c r="L561" s="8" t="n">
        <v>13</v>
      </c>
      <c r="M561" s="8" t="n">
        <v>111220</v>
      </c>
      <c r="N561" s="8" t="n">
        <v>282251</v>
      </c>
      <c r="O561" s="5" t="n">
        <v>25.6</v>
      </c>
      <c r="P561" s="9" t="n">
        <v>3.6</v>
      </c>
      <c r="Q561" s="5" t="n">
        <v>0.52</v>
      </c>
      <c r="R561" s="5" t="s">
        <v>95</v>
      </c>
      <c r="S561" s="5" t="s">
        <v>86</v>
      </c>
      <c r="T561" s="5" t="n">
        <v>61</v>
      </c>
      <c r="U561" s="5" t="s">
        <v>55</v>
      </c>
      <c r="V561" s="5" t="s">
        <v>1619</v>
      </c>
    </row>
    <row r="562" customFormat="false" ht="15" hidden="false" customHeight="false" outlineLevel="0" collapsed="false">
      <c r="A562" s="5" t="n">
        <v>561</v>
      </c>
      <c r="B562" s="5" t="s">
        <v>1620</v>
      </c>
      <c r="C562" s="6" t="s">
        <v>49</v>
      </c>
      <c r="D562" s="5" t="s">
        <v>200</v>
      </c>
      <c r="E562" s="5" t="s">
        <v>201</v>
      </c>
      <c r="F562" s="5"/>
      <c r="G562" s="5"/>
      <c r="H562" s="5" t="s">
        <v>1553</v>
      </c>
      <c r="I562" s="5"/>
      <c r="J562" s="7" t="n">
        <v>1012</v>
      </c>
      <c r="K562" s="8" t="n">
        <v>1690</v>
      </c>
      <c r="L562" s="8" t="n">
        <v>32</v>
      </c>
      <c r="M562" s="8" t="n">
        <v>15849</v>
      </c>
      <c r="N562" s="8" t="n">
        <v>333231</v>
      </c>
      <c r="O562" s="5" t="n">
        <v>25.5</v>
      </c>
      <c r="P562" s="9" t="n">
        <v>3.04</v>
      </c>
      <c r="Q562" s="5" t="n">
        <v>1.79</v>
      </c>
      <c r="R562" s="5" t="s">
        <v>53</v>
      </c>
      <c r="S562" s="5" t="s">
        <v>1176</v>
      </c>
      <c r="T562" s="5" t="n">
        <v>92</v>
      </c>
      <c r="U562" s="5" t="s">
        <v>55</v>
      </c>
      <c r="V562" s="5" t="s">
        <v>1621</v>
      </c>
    </row>
  </sheetData>
  <hyperlinks>
    <hyperlink ref="C2" r:id="rId1" display="YouTube"/>
    <hyperlink ref="C3" r:id="rId2" display="YouTube"/>
    <hyperlink ref="C4" r:id="rId3" display="YouTube"/>
    <hyperlink ref="C5" r:id="rId4" display="YouTube"/>
    <hyperlink ref="C6" r:id="rId5" display="YouTube"/>
    <hyperlink ref="C7" r:id="rId6" display="YouTube"/>
    <hyperlink ref="C8" r:id="rId7" display="YouTube"/>
    <hyperlink ref="C9" r:id="rId8" display="YouTube"/>
    <hyperlink ref="C10" r:id="rId9" display="YouTube"/>
    <hyperlink ref="C11" r:id="rId10" display="YouTube"/>
    <hyperlink ref="C12" r:id="rId11" display="YouTube"/>
    <hyperlink ref="C13" r:id="rId12" display="YouTube"/>
    <hyperlink ref="C14" r:id="rId13" display="YouTube"/>
    <hyperlink ref="C15" r:id="rId14" display="YouTube"/>
    <hyperlink ref="C16" r:id="rId15" display="YouTube"/>
    <hyperlink ref="C17" r:id="rId16" display="YouTube"/>
    <hyperlink ref="C18" r:id="rId17" display="YouTube"/>
    <hyperlink ref="C19" r:id="rId18" display="YouTube"/>
    <hyperlink ref="C20" r:id="rId19" display="YouTube"/>
    <hyperlink ref="C21" r:id="rId20" display="YouTube"/>
    <hyperlink ref="C22" r:id="rId21" display="YouTube"/>
    <hyperlink ref="C23" r:id="rId22" display="YouTube"/>
    <hyperlink ref="C24" r:id="rId23" display="YouTube"/>
    <hyperlink ref="C25" r:id="rId24" display="YouTube"/>
    <hyperlink ref="C26" r:id="rId25" display="YouTube"/>
    <hyperlink ref="C27" r:id="rId26" display="YouTube"/>
    <hyperlink ref="C28" r:id="rId27" display="YouTube"/>
    <hyperlink ref="C29" r:id="rId28" display="YouTube"/>
    <hyperlink ref="C30" r:id="rId29" display="YouTube"/>
    <hyperlink ref="C31" r:id="rId30" display="YouTube"/>
    <hyperlink ref="C32" r:id="rId31" display="YouTube"/>
    <hyperlink ref="C33" r:id="rId32" display="YouTube"/>
    <hyperlink ref="C34" r:id="rId33" display="YouTube"/>
    <hyperlink ref="C35" r:id="rId34" display="YouTube"/>
    <hyperlink ref="C36" r:id="rId35" display="YouTube"/>
    <hyperlink ref="C37" r:id="rId36" display="YouTube"/>
    <hyperlink ref="C38" r:id="rId37" display="YouTube"/>
    <hyperlink ref="C39" r:id="rId38" display="YouTube"/>
    <hyperlink ref="C40" r:id="rId39" display="YouTube"/>
    <hyperlink ref="C41" r:id="rId40" display="YouTube"/>
    <hyperlink ref="C42" r:id="rId41" display="YouTube"/>
    <hyperlink ref="C43" r:id="rId42" display="YouTube"/>
    <hyperlink ref="C44" r:id="rId43" display="YouTube"/>
    <hyperlink ref="C45" r:id="rId44" display="YouTube"/>
    <hyperlink ref="C46" r:id="rId45" display="YouTube"/>
    <hyperlink ref="C47" r:id="rId46" display="YouTube"/>
    <hyperlink ref="C48" r:id="rId47" display="YouTube"/>
    <hyperlink ref="C49" r:id="rId48" display="YouTube"/>
    <hyperlink ref="C50" r:id="rId49" display="YouTube"/>
    <hyperlink ref="C51" r:id="rId50" display="YouTube"/>
    <hyperlink ref="C52" r:id="rId51" display="YouTube"/>
    <hyperlink ref="C53" r:id="rId52" display="YouTube"/>
    <hyperlink ref="C54" r:id="rId53" display="YouTube"/>
    <hyperlink ref="C55" r:id="rId54" display="YouTube"/>
    <hyperlink ref="C56" r:id="rId55" display="YouTube"/>
    <hyperlink ref="C57" r:id="rId56" display="YouTube"/>
    <hyperlink ref="C58" r:id="rId57" display="YouTube"/>
    <hyperlink ref="C59" r:id="rId58" display="YouTube"/>
    <hyperlink ref="C60" r:id="rId59" display="YouTube"/>
    <hyperlink ref="C61" r:id="rId60" display="YouTube"/>
    <hyperlink ref="C62" r:id="rId61" display="YouTube"/>
    <hyperlink ref="C63" r:id="rId62" display="YouTube"/>
    <hyperlink ref="C64" r:id="rId63" display="YouTube"/>
    <hyperlink ref="C65" r:id="rId64" display="YouTube"/>
    <hyperlink ref="C66" r:id="rId65" display="YouTube"/>
    <hyperlink ref="C67" r:id="rId66" display="YouTube"/>
    <hyperlink ref="C68" r:id="rId67" display="YouTube"/>
    <hyperlink ref="C69" r:id="rId68" display="YouTube"/>
    <hyperlink ref="C70" r:id="rId69" display="YouTube"/>
    <hyperlink ref="C71" r:id="rId70" display="YouTube"/>
    <hyperlink ref="C72" r:id="rId71" display="YouTube"/>
    <hyperlink ref="C73" r:id="rId72" display="YouTube"/>
    <hyperlink ref="C74" r:id="rId73" display="YouTube"/>
    <hyperlink ref="C75" r:id="rId74" display="YouTube"/>
    <hyperlink ref="C76" r:id="rId75" display="YouTube"/>
    <hyperlink ref="C77" r:id="rId76" display="YouTube"/>
    <hyperlink ref="C78" r:id="rId77" display="YouTube"/>
    <hyperlink ref="C79" r:id="rId78" display="YouTube"/>
    <hyperlink ref="C80" r:id="rId79" display="YouTube"/>
    <hyperlink ref="C81" r:id="rId80" display="YouTube"/>
    <hyperlink ref="C82" r:id="rId81" display="YouTube"/>
    <hyperlink ref="C83" r:id="rId82" display="YouTube"/>
    <hyperlink ref="C84" r:id="rId83" display="YouTube"/>
    <hyperlink ref="C85" r:id="rId84" display="YouTube"/>
    <hyperlink ref="C86" r:id="rId85" display="YouTube"/>
    <hyperlink ref="C87" r:id="rId86" display="YouTube"/>
    <hyperlink ref="C88" r:id="rId87" display="YouTube"/>
    <hyperlink ref="C89" r:id="rId88" display="YouTube"/>
    <hyperlink ref="C90" r:id="rId89" display="YouTube"/>
    <hyperlink ref="C91" r:id="rId90" display="YouTube"/>
    <hyperlink ref="C92" r:id="rId91" display="YouTube"/>
    <hyperlink ref="C93" r:id="rId92" display="YouTube"/>
    <hyperlink ref="C94" r:id="rId93" display="YouTube"/>
    <hyperlink ref="C95" r:id="rId94" display="YouTube"/>
    <hyperlink ref="C96" r:id="rId95" display="YouTube"/>
    <hyperlink ref="C97" r:id="rId96" display="YouTube"/>
    <hyperlink ref="C98" r:id="rId97" display="YouTube"/>
    <hyperlink ref="C99" r:id="rId98" display="YouTube"/>
    <hyperlink ref="C100" r:id="rId99" display="YouTube"/>
    <hyperlink ref="C101" r:id="rId100" display="YouTube"/>
    <hyperlink ref="C102" r:id="rId101" display="YouTube"/>
    <hyperlink ref="C103" r:id="rId102" display="YouTube"/>
    <hyperlink ref="C104" r:id="rId103" display="YouTube"/>
    <hyperlink ref="C105" r:id="rId104" display="YouTube"/>
    <hyperlink ref="C106" r:id="rId105" display="YouTube"/>
    <hyperlink ref="C107" r:id="rId106" display="YouTube"/>
    <hyperlink ref="C108" r:id="rId107" display="YouTube"/>
    <hyperlink ref="C109" r:id="rId108" display="YouTube"/>
    <hyperlink ref="C110" r:id="rId109" display="YouTube"/>
    <hyperlink ref="C111" r:id="rId110" display="YouTube"/>
    <hyperlink ref="C112" r:id="rId111" display="YouTube"/>
    <hyperlink ref="C113" r:id="rId112" display="YouTube"/>
    <hyperlink ref="C114" r:id="rId113" display="YouTube"/>
    <hyperlink ref="C115" r:id="rId114" display="YouTube"/>
    <hyperlink ref="C116" r:id="rId115" display="YouTube"/>
    <hyperlink ref="C117" r:id="rId116" display="YouTube"/>
    <hyperlink ref="C118" r:id="rId117" display="YouTube"/>
    <hyperlink ref="C119" r:id="rId118" display="YouTube"/>
    <hyperlink ref="C120" r:id="rId119" display="YouTube"/>
    <hyperlink ref="C121" r:id="rId120" display="YouTube"/>
    <hyperlink ref="C122" r:id="rId121" display="YouTube"/>
    <hyperlink ref="C123" r:id="rId122" display="YouTube"/>
    <hyperlink ref="C124" r:id="rId123" display="YouTube"/>
    <hyperlink ref="C125" r:id="rId124" display="YouTube"/>
    <hyperlink ref="C126" r:id="rId125" display="YouTube"/>
    <hyperlink ref="C127" r:id="rId126" display="YouTube"/>
    <hyperlink ref="C128" r:id="rId127" display="YouTube"/>
    <hyperlink ref="C129" r:id="rId128" display="YouTube"/>
    <hyperlink ref="C130" r:id="rId129" display="YouTube"/>
    <hyperlink ref="C131" r:id="rId130" display="YouTube"/>
    <hyperlink ref="C132" r:id="rId131" display="YouTube"/>
    <hyperlink ref="C133" r:id="rId132" display="YouTube"/>
    <hyperlink ref="C134" r:id="rId133" display="YouTube"/>
    <hyperlink ref="C135" r:id="rId134" display="YouTube"/>
    <hyperlink ref="C136" r:id="rId135" display="YouTube"/>
    <hyperlink ref="C137" r:id="rId136" display="YouTube"/>
    <hyperlink ref="C138" r:id="rId137" display="YouTube"/>
    <hyperlink ref="C139" r:id="rId138" display="YouTube"/>
    <hyperlink ref="C140" r:id="rId139" display="YouTube"/>
    <hyperlink ref="C141" r:id="rId140" display="YouTube"/>
    <hyperlink ref="C142" r:id="rId141" display="YouTube"/>
    <hyperlink ref="C143" r:id="rId142" display="YouTube"/>
    <hyperlink ref="C144" r:id="rId143" display="YouTube"/>
    <hyperlink ref="C145" r:id="rId144" display="YouTube"/>
    <hyperlink ref="C146" r:id="rId145" display="YouTube"/>
    <hyperlink ref="C147" r:id="rId146" display="YouTube"/>
    <hyperlink ref="C148" r:id="rId147" display="YouTube"/>
    <hyperlink ref="C149" r:id="rId148" display="YouTube"/>
    <hyperlink ref="C150" r:id="rId149" display="YouTube"/>
    <hyperlink ref="C151" r:id="rId150" display="YouTube"/>
    <hyperlink ref="C152" r:id="rId151" display="YouTube"/>
    <hyperlink ref="C153" r:id="rId152" display="YouTube"/>
    <hyperlink ref="C154" r:id="rId153" display="YouTube"/>
    <hyperlink ref="C155" r:id="rId154" display="YouTube"/>
    <hyperlink ref="C156" r:id="rId155" display="YouTube"/>
    <hyperlink ref="C157" r:id="rId156" display="YouTube"/>
    <hyperlink ref="C158" r:id="rId157" display="YouTube"/>
    <hyperlink ref="C159" r:id="rId158" display="YouTube"/>
    <hyperlink ref="C160" r:id="rId159" display="YouTube"/>
    <hyperlink ref="C161" r:id="rId160" display="YouTube"/>
    <hyperlink ref="C162" r:id="rId161" display="YouTube"/>
    <hyperlink ref="C163" r:id="rId162" display="YouTube"/>
    <hyperlink ref="C164" r:id="rId163" display="YouTube"/>
    <hyperlink ref="C165" r:id="rId164" display="YouTube"/>
    <hyperlink ref="C166" r:id="rId165" display="YouTube"/>
    <hyperlink ref="C167" r:id="rId166" display="YouTube"/>
    <hyperlink ref="C168" r:id="rId167" display="YouTube"/>
    <hyperlink ref="C169" r:id="rId168" display="YouTube"/>
    <hyperlink ref="C170" r:id="rId169" display="YouTube"/>
    <hyperlink ref="C171" r:id="rId170" display="YouTube"/>
    <hyperlink ref="C172" r:id="rId171" display="YouTube"/>
    <hyperlink ref="C173" r:id="rId172" display="YouTube"/>
    <hyperlink ref="C174" r:id="rId173" display="YouTube"/>
    <hyperlink ref="C175" r:id="rId174" display="YouTube"/>
    <hyperlink ref="C176" r:id="rId175" display="YouTube"/>
    <hyperlink ref="C177" r:id="rId176" display="YouTube"/>
    <hyperlink ref="C178" r:id="rId177" display="YouTube"/>
    <hyperlink ref="C179" r:id="rId178" display="YouTube"/>
    <hyperlink ref="C180" r:id="rId179" display="YouTube"/>
    <hyperlink ref="C181" r:id="rId180" display="YouTube"/>
    <hyperlink ref="C182" r:id="rId181" display="YouTube"/>
    <hyperlink ref="C183" r:id="rId182" display="YouTube"/>
    <hyperlink ref="C184" r:id="rId183" display="YouTube"/>
    <hyperlink ref="C185" r:id="rId184" display="YouTube"/>
    <hyperlink ref="C186" r:id="rId185" display="YouTube"/>
    <hyperlink ref="C187" r:id="rId186" display="YouTube"/>
    <hyperlink ref="C188" r:id="rId187" display="YouTube"/>
    <hyperlink ref="C189" r:id="rId188" display="YouTube"/>
    <hyperlink ref="C190" r:id="rId189" display="YouTube"/>
    <hyperlink ref="C191" r:id="rId190" display="YouTube"/>
    <hyperlink ref="C192" r:id="rId191" display="YouTube"/>
    <hyperlink ref="C193" r:id="rId192" display="YouTube"/>
    <hyperlink ref="C194" r:id="rId193" display="YouTube"/>
    <hyperlink ref="C195" r:id="rId194" display="YouTube"/>
    <hyperlink ref="C196" r:id="rId195" display="YouTube"/>
    <hyperlink ref="C197" r:id="rId196" display="YouTube"/>
    <hyperlink ref="C198" r:id="rId197" display="YouTube"/>
    <hyperlink ref="C199" r:id="rId198" display="YouTube"/>
    <hyperlink ref="C200" r:id="rId199" display="YouTube"/>
    <hyperlink ref="C201" r:id="rId200" display="YouTube"/>
    <hyperlink ref="C202" r:id="rId201" display="YouTube"/>
    <hyperlink ref="C203" r:id="rId202" display="YouTube"/>
    <hyperlink ref="C204" r:id="rId203" display="YouTube"/>
    <hyperlink ref="C205" r:id="rId204" display="YouTube"/>
    <hyperlink ref="C206" r:id="rId205" display="YouTube"/>
    <hyperlink ref="C207" r:id="rId206" display="YouTube"/>
    <hyperlink ref="C208" r:id="rId207" display="YouTube"/>
    <hyperlink ref="C209" r:id="rId208" display="YouTube"/>
    <hyperlink ref="C210" r:id="rId209" display="YouTube"/>
    <hyperlink ref="C211" r:id="rId210" display="YouTube"/>
    <hyperlink ref="C212" r:id="rId211" display="YouTube"/>
    <hyperlink ref="C213" r:id="rId212" display="YouTube"/>
    <hyperlink ref="C214" r:id="rId213" display="YouTube"/>
    <hyperlink ref="C215" r:id="rId214" display="YouTube"/>
    <hyperlink ref="C216" r:id="rId215" display="YouTube"/>
    <hyperlink ref="C217" r:id="rId216" display="YouTube"/>
    <hyperlink ref="C218" r:id="rId217" display="YouTube"/>
    <hyperlink ref="C219" r:id="rId218" display="YouTube"/>
    <hyperlink ref="C220" r:id="rId219" display="YouTube"/>
    <hyperlink ref="C221" r:id="rId220" display="YouTube"/>
    <hyperlink ref="C222" r:id="rId221" display="YouTube"/>
    <hyperlink ref="C223" r:id="rId222" display="YouTube"/>
    <hyperlink ref="C224" r:id="rId223" display="YouTube"/>
    <hyperlink ref="C225" r:id="rId224" display="YouTube"/>
    <hyperlink ref="C226" r:id="rId225" display="YouTube"/>
    <hyperlink ref="C227" r:id="rId226" display="YouTube"/>
    <hyperlink ref="C228" r:id="rId227" display="YouTube"/>
    <hyperlink ref="C229" r:id="rId228" display="YouTube"/>
    <hyperlink ref="C230" r:id="rId229" display="YouTube"/>
    <hyperlink ref="C231" r:id="rId230" display="YouTube"/>
    <hyperlink ref="C232" r:id="rId231" display="YouTube"/>
    <hyperlink ref="C233" r:id="rId232" display="YouTube"/>
    <hyperlink ref="C234" r:id="rId233" display="YouTube"/>
    <hyperlink ref="C235" r:id="rId234" display="YouTube"/>
    <hyperlink ref="C236" r:id="rId235" display="YouTube"/>
    <hyperlink ref="C237" r:id="rId236" display="YouTube"/>
    <hyperlink ref="C238" r:id="rId237" display="YouTube"/>
    <hyperlink ref="C239" r:id="rId238" display="YouTube"/>
    <hyperlink ref="C240" r:id="rId239" display="YouTube"/>
    <hyperlink ref="C241" r:id="rId240" display="YouTube"/>
    <hyperlink ref="C242" r:id="rId241" display="YouTube"/>
    <hyperlink ref="C243" r:id="rId242" display="YouTube"/>
    <hyperlink ref="C244" r:id="rId243" display="YouTube"/>
    <hyperlink ref="C245" r:id="rId244" display="YouTube"/>
    <hyperlink ref="C246" r:id="rId245" display="YouTube"/>
    <hyperlink ref="C247" r:id="rId246" display="YouTube"/>
    <hyperlink ref="C248" r:id="rId247" display="YouTube"/>
    <hyperlink ref="C249" r:id="rId248" display="YouTube"/>
    <hyperlink ref="C250" r:id="rId249" display="YouTube"/>
    <hyperlink ref="C251" r:id="rId250" display="YouTube"/>
    <hyperlink ref="C252" r:id="rId251" display="YouTube"/>
    <hyperlink ref="C253" r:id="rId252" display="YouTube"/>
    <hyperlink ref="C254" r:id="rId253" display="YouTube"/>
    <hyperlink ref="C255" r:id="rId254" display="YouTube"/>
    <hyperlink ref="C256" r:id="rId255" display="YouTube"/>
    <hyperlink ref="C257" r:id="rId256" display="YouTube"/>
    <hyperlink ref="C258" r:id="rId257" display="YouTube"/>
    <hyperlink ref="C259" r:id="rId258" display="YouTube"/>
    <hyperlink ref="C260" r:id="rId259" display="YouTube"/>
    <hyperlink ref="C261" r:id="rId260" display="YouTube"/>
    <hyperlink ref="C262" r:id="rId261" display="YouTube"/>
    <hyperlink ref="C263" r:id="rId262" display="YouTube"/>
    <hyperlink ref="C264" r:id="rId263" display="YouTube"/>
    <hyperlink ref="C265" r:id="rId264" display="YouTube"/>
    <hyperlink ref="C266" r:id="rId265" display="YouTube"/>
    <hyperlink ref="C267" r:id="rId266" display="YouTube"/>
    <hyperlink ref="C268" r:id="rId267" display="YouTube"/>
    <hyperlink ref="C269" r:id="rId268" display="YouTube"/>
    <hyperlink ref="C270" r:id="rId269" display="YouTube"/>
    <hyperlink ref="C271" r:id="rId270" display="YouTube"/>
    <hyperlink ref="C272" r:id="rId271" display="YouTube"/>
    <hyperlink ref="C273" r:id="rId272" display="YouTube"/>
    <hyperlink ref="C274" r:id="rId273" display="YouTube"/>
    <hyperlink ref="C275" r:id="rId274" display="YouTube"/>
    <hyperlink ref="C276" r:id="rId275" display="YouTube"/>
    <hyperlink ref="C277" r:id="rId276" display="YouTube"/>
    <hyperlink ref="C278" r:id="rId277" display="YouTube"/>
    <hyperlink ref="C279" r:id="rId278" display="YouTube"/>
    <hyperlink ref="C280" r:id="rId279" display="YouTube"/>
    <hyperlink ref="C281" r:id="rId280" display="YouTube"/>
    <hyperlink ref="C282" r:id="rId281" display="YouTube"/>
    <hyperlink ref="C283" r:id="rId282" display="YouTube"/>
    <hyperlink ref="C284" r:id="rId283" display="YouTube"/>
    <hyperlink ref="C285" r:id="rId284" display="YouTube"/>
    <hyperlink ref="C286" r:id="rId285" display="YouTube"/>
    <hyperlink ref="C287" r:id="rId286" display="YouTube"/>
    <hyperlink ref="C288" r:id="rId287" display="YouTube"/>
    <hyperlink ref="C289" r:id="rId288" display="YouTube"/>
    <hyperlink ref="C290" r:id="rId289" display="YouTube"/>
    <hyperlink ref="C291" r:id="rId290" display="YouTube"/>
    <hyperlink ref="C292" r:id="rId291" display="YouTube"/>
    <hyperlink ref="C293" r:id="rId292" display="YouTube"/>
    <hyperlink ref="C294" r:id="rId293" display="YouTube"/>
    <hyperlink ref="C295" r:id="rId294" display="YouTube"/>
    <hyperlink ref="C296" r:id="rId295" display="YouTube"/>
    <hyperlink ref="C297" r:id="rId296" display="YouTube"/>
    <hyperlink ref="C298" r:id="rId297" display="YouTube"/>
    <hyperlink ref="C299" r:id="rId298" display="YouTube"/>
    <hyperlink ref="C300" r:id="rId299" display="YouTube"/>
    <hyperlink ref="C301" r:id="rId300" display="YouTube"/>
    <hyperlink ref="C302" r:id="rId301" display="YouTube"/>
    <hyperlink ref="C303" r:id="rId302" display="YouTube"/>
    <hyperlink ref="C304" r:id="rId303" display="YouTube"/>
    <hyperlink ref="C305" r:id="rId304" display="YouTube"/>
    <hyperlink ref="C306" r:id="rId305" display="YouTube"/>
    <hyperlink ref="C307" r:id="rId306" display="YouTube"/>
    <hyperlink ref="C308" r:id="rId307" display="YouTube"/>
    <hyperlink ref="C309" r:id="rId308" display="YouTube"/>
    <hyperlink ref="C310" r:id="rId309" display="YouTube"/>
    <hyperlink ref="C311" r:id="rId310" display="YouTube"/>
    <hyperlink ref="C312" r:id="rId311" display="YouTube"/>
    <hyperlink ref="C313" r:id="rId312" display="YouTube"/>
    <hyperlink ref="C314" r:id="rId313" display="YouTube"/>
    <hyperlink ref="C315" r:id="rId314" display="YouTube"/>
    <hyperlink ref="C316" r:id="rId315" display="YouTube"/>
    <hyperlink ref="C317" r:id="rId316" display="YouTube"/>
    <hyperlink ref="C318" r:id="rId317" display="YouTube"/>
    <hyperlink ref="C319" r:id="rId318" display="YouTube"/>
    <hyperlink ref="C320" r:id="rId319" display="YouTube"/>
    <hyperlink ref="C321" r:id="rId320" display="YouTube"/>
    <hyperlink ref="C322" r:id="rId321" display="YouTube"/>
    <hyperlink ref="C323" r:id="rId322" display="YouTube"/>
    <hyperlink ref="C324" r:id="rId323" display="YouTube"/>
    <hyperlink ref="C325" r:id="rId324" display="YouTube"/>
    <hyperlink ref="C326" r:id="rId325" display="YouTube"/>
    <hyperlink ref="C327" r:id="rId326" display="YouTube"/>
    <hyperlink ref="C328" r:id="rId327" display="YouTube"/>
    <hyperlink ref="C329" r:id="rId328" display="YouTube"/>
    <hyperlink ref="C330" r:id="rId329" display="YouTube"/>
    <hyperlink ref="C331" r:id="rId330" display="YouTube"/>
    <hyperlink ref="C332" r:id="rId331" display="YouTube"/>
    <hyperlink ref="C333" r:id="rId332" display="YouTube"/>
    <hyperlink ref="C334" r:id="rId333" display="YouTube"/>
    <hyperlink ref="C335" r:id="rId334" display="YouTube"/>
    <hyperlink ref="C336" r:id="rId335" display="YouTube"/>
    <hyperlink ref="C337" r:id="rId336" display="YouTube"/>
    <hyperlink ref="C338" r:id="rId337" display="YouTube"/>
    <hyperlink ref="C339" r:id="rId338" display="YouTube"/>
    <hyperlink ref="C340" r:id="rId339" display="YouTube"/>
    <hyperlink ref="C341" r:id="rId340" display="YouTube"/>
    <hyperlink ref="C342" r:id="rId341" display="YouTube"/>
    <hyperlink ref="C343" r:id="rId342" display="YouTube"/>
    <hyperlink ref="C344" r:id="rId343" display="YouTube"/>
    <hyperlink ref="C345" r:id="rId344" display="YouTube"/>
    <hyperlink ref="C346" r:id="rId345" display="YouTube"/>
    <hyperlink ref="C347" r:id="rId346" display="YouTube"/>
    <hyperlink ref="C348" r:id="rId347" display="YouTube"/>
    <hyperlink ref="C349" r:id="rId348" display="YouTube"/>
    <hyperlink ref="C350" r:id="rId349" display="YouTube"/>
    <hyperlink ref="C351" r:id="rId350" display="YouTube"/>
    <hyperlink ref="C352" r:id="rId351" display="YouTube"/>
    <hyperlink ref="C353" r:id="rId352" display="YouTube"/>
    <hyperlink ref="C354" r:id="rId353" display="YouTube"/>
    <hyperlink ref="C355" r:id="rId354" display="YouTube"/>
    <hyperlink ref="C356" r:id="rId355" display="YouTube"/>
    <hyperlink ref="C357" r:id="rId356" display="YouTube"/>
    <hyperlink ref="C358" r:id="rId357" display="YouTube"/>
    <hyperlink ref="C359" r:id="rId358" display="YouTube"/>
    <hyperlink ref="C360" r:id="rId359" display="YouTube"/>
    <hyperlink ref="C361" r:id="rId360" display="YouTube"/>
    <hyperlink ref="C362" r:id="rId361" display="YouTube"/>
    <hyperlink ref="C363" r:id="rId362" display="YouTube"/>
    <hyperlink ref="C364" r:id="rId363" display="YouTube"/>
    <hyperlink ref="C365" r:id="rId364" display="YouTube"/>
    <hyperlink ref="C366" r:id="rId365" display="YouTube"/>
    <hyperlink ref="C367" r:id="rId366" display="YouTube"/>
    <hyperlink ref="C368" r:id="rId367" display="YouTube"/>
    <hyperlink ref="C369" r:id="rId368" display="YouTube"/>
    <hyperlink ref="C370" r:id="rId369" display="YouTube"/>
    <hyperlink ref="C371" r:id="rId370" display="YouTube"/>
    <hyperlink ref="C372" r:id="rId371" display="YouTube"/>
    <hyperlink ref="C373" r:id="rId372" display="YouTube"/>
    <hyperlink ref="C374" r:id="rId373" display="YouTube"/>
    <hyperlink ref="C375" r:id="rId374" display="YouTube"/>
    <hyperlink ref="C376" r:id="rId375" display="YouTube"/>
    <hyperlink ref="C377" r:id="rId376" display="YouTube"/>
    <hyperlink ref="C378" r:id="rId377" display="YouTube"/>
    <hyperlink ref="C379" r:id="rId378" display="YouTube"/>
    <hyperlink ref="C380" r:id="rId379" display="YouTube"/>
    <hyperlink ref="C381" r:id="rId380" display="YouTube"/>
    <hyperlink ref="C382" r:id="rId381" display="YouTube"/>
    <hyperlink ref="C383" r:id="rId382" display="YouTube"/>
    <hyperlink ref="C384" r:id="rId383" display="YouTube"/>
    <hyperlink ref="C385" r:id="rId384" display="YouTube"/>
    <hyperlink ref="C386" r:id="rId385" display="YouTube"/>
    <hyperlink ref="C387" r:id="rId386" display="YouTube"/>
    <hyperlink ref="C388" r:id="rId387" display="YouTube"/>
    <hyperlink ref="C389" r:id="rId388" display="YouTube"/>
    <hyperlink ref="C390" r:id="rId389" display="YouTube"/>
    <hyperlink ref="C391" r:id="rId390" display="YouTube"/>
    <hyperlink ref="C392" r:id="rId391" display="YouTube"/>
    <hyperlink ref="C393" r:id="rId392" display="YouTube"/>
    <hyperlink ref="C394" r:id="rId393" display="YouTube"/>
    <hyperlink ref="C395" r:id="rId394" display="YouTube"/>
    <hyperlink ref="C396" r:id="rId395" display="YouTube"/>
    <hyperlink ref="C397" r:id="rId396" display="YouTube"/>
    <hyperlink ref="C398" r:id="rId397" display="YouTube"/>
    <hyperlink ref="C399" r:id="rId398" display="YouTube"/>
    <hyperlink ref="C400" r:id="rId399" display="YouTube"/>
    <hyperlink ref="C401" r:id="rId400" display="YouTube"/>
    <hyperlink ref="C402" r:id="rId401" display="YouTube"/>
    <hyperlink ref="C403" r:id="rId402" display="YouTube"/>
    <hyperlink ref="C404" r:id="rId403" display="YouTube"/>
    <hyperlink ref="C405" r:id="rId404" display="YouTube"/>
    <hyperlink ref="C406" r:id="rId405" display="YouTube"/>
    <hyperlink ref="C407" r:id="rId406" display="YouTube"/>
    <hyperlink ref="C408" r:id="rId407" display="YouTube"/>
    <hyperlink ref="C409" r:id="rId408" display="YouTube"/>
    <hyperlink ref="C410" r:id="rId409" display="YouTube"/>
    <hyperlink ref="C411" r:id="rId410" display="YouTube"/>
    <hyperlink ref="C412" r:id="rId411" display="YouTube"/>
    <hyperlink ref="C413" r:id="rId412" display="YouTube"/>
    <hyperlink ref="C414" r:id="rId413" display="YouTube"/>
    <hyperlink ref="C415" r:id="rId414" display="YouTube"/>
    <hyperlink ref="C416" r:id="rId415" display="YouTube"/>
    <hyperlink ref="C417" r:id="rId416" display="YouTube"/>
    <hyperlink ref="C418" r:id="rId417" display="YouTube"/>
    <hyperlink ref="C419" r:id="rId418" display="YouTube"/>
    <hyperlink ref="C420" r:id="rId419" display="YouTube"/>
    <hyperlink ref="C421" r:id="rId420" display="YouTube"/>
    <hyperlink ref="C422" r:id="rId421" display="YouTube"/>
    <hyperlink ref="C423" r:id="rId422" display="YouTube"/>
    <hyperlink ref="C424" r:id="rId423" display="YouTube"/>
    <hyperlink ref="C425" r:id="rId424" display="YouTube"/>
    <hyperlink ref="C426" r:id="rId425" display="YouTube"/>
    <hyperlink ref="C427" r:id="rId426" display="YouTube"/>
    <hyperlink ref="C428" r:id="rId427" display="YouTube"/>
    <hyperlink ref="C429" r:id="rId428" display="YouTube"/>
    <hyperlink ref="C430" r:id="rId429" display="YouTube"/>
    <hyperlink ref="C431" r:id="rId430" display="YouTube"/>
    <hyperlink ref="C432" r:id="rId431" display="YouTube"/>
    <hyperlink ref="C433" r:id="rId432" display="YouTube"/>
    <hyperlink ref="C434" r:id="rId433" display="YouTube"/>
    <hyperlink ref="C435" r:id="rId434" display="YouTube"/>
    <hyperlink ref="C436" r:id="rId435" display="YouTube"/>
    <hyperlink ref="C437" r:id="rId436" display="YouTube"/>
    <hyperlink ref="C438" r:id="rId437" display="YouTube"/>
    <hyperlink ref="C439" r:id="rId438" display="YouTube"/>
    <hyperlink ref="C440" r:id="rId439" display="YouTube"/>
    <hyperlink ref="C441" r:id="rId440" display="YouTube"/>
    <hyperlink ref="C442" r:id="rId441" display="YouTube"/>
    <hyperlink ref="C443" r:id="rId442" display="YouTube"/>
    <hyperlink ref="C444" r:id="rId443" display="YouTube"/>
    <hyperlink ref="C445" r:id="rId444" display="YouTube"/>
    <hyperlink ref="C446" r:id="rId445" display="YouTube"/>
    <hyperlink ref="C447" r:id="rId446" display="YouTube"/>
    <hyperlink ref="C448" r:id="rId447" display="YouTube"/>
    <hyperlink ref="C449" r:id="rId448" display="YouTube"/>
    <hyperlink ref="C450" r:id="rId449" display="YouTube"/>
    <hyperlink ref="C451" r:id="rId450" display="YouTube"/>
    <hyperlink ref="C452" r:id="rId451" display="YouTube"/>
    <hyperlink ref="C453" r:id="rId452" display="YouTube"/>
    <hyperlink ref="C454" r:id="rId453" display="YouTube"/>
    <hyperlink ref="C455" r:id="rId454" display="YouTube"/>
    <hyperlink ref="C456" r:id="rId455" display="YouTube"/>
    <hyperlink ref="C457" r:id="rId456" display="YouTube"/>
    <hyperlink ref="C458" r:id="rId457" display="YouTube"/>
    <hyperlink ref="C459" r:id="rId458" display="YouTube"/>
    <hyperlink ref="C460" r:id="rId459" display="YouTube"/>
    <hyperlink ref="C461" r:id="rId460" display="YouTube"/>
    <hyperlink ref="C462" r:id="rId461" display="YouTube"/>
    <hyperlink ref="C463" r:id="rId462" display="YouTube"/>
    <hyperlink ref="C464" r:id="rId463" display="YouTube"/>
    <hyperlink ref="C465" r:id="rId464" display="YouTube"/>
    <hyperlink ref="C466" r:id="rId465" display="YouTube"/>
    <hyperlink ref="C467" r:id="rId466" display="YouTube"/>
    <hyperlink ref="C468" r:id="rId467" display="YouTube"/>
    <hyperlink ref="C469" r:id="rId468" display="YouTube"/>
    <hyperlink ref="C470" r:id="rId469" display="YouTube"/>
    <hyperlink ref="C471" r:id="rId470" display="YouTube"/>
    <hyperlink ref="C472" r:id="rId471" display="YouTube"/>
    <hyperlink ref="C473" r:id="rId472" display="YouTube"/>
    <hyperlink ref="C474" r:id="rId473" display="YouTube"/>
    <hyperlink ref="C475" r:id="rId474" display="YouTube"/>
    <hyperlink ref="C476" r:id="rId475" display="YouTube"/>
    <hyperlink ref="C477" r:id="rId476" display="YouTube"/>
    <hyperlink ref="C478" r:id="rId477" display="YouTube"/>
    <hyperlink ref="C479" r:id="rId478" display="YouTube"/>
    <hyperlink ref="C480" r:id="rId479" display="YouTube"/>
    <hyperlink ref="C481" r:id="rId480" display="YouTube"/>
    <hyperlink ref="C482" r:id="rId481" display="YouTube"/>
    <hyperlink ref="C483" r:id="rId482" display="YouTube"/>
    <hyperlink ref="C484" r:id="rId483" display="YouTube"/>
    <hyperlink ref="C485" r:id="rId484" display="YouTube"/>
    <hyperlink ref="C486" r:id="rId485" display="YouTube"/>
    <hyperlink ref="C487" r:id="rId486" display="YouTube"/>
    <hyperlink ref="C488" r:id="rId487" display="YouTube"/>
    <hyperlink ref="C489" r:id="rId488" display="YouTube"/>
    <hyperlink ref="C490" r:id="rId489" display="YouTube"/>
    <hyperlink ref="C491" r:id="rId490" display="YouTube"/>
    <hyperlink ref="C492" r:id="rId491" display="YouTube"/>
    <hyperlink ref="C493" r:id="rId492" display="YouTube"/>
    <hyperlink ref="C494" r:id="rId493" display="YouTube"/>
    <hyperlink ref="C495" r:id="rId494" display="YouTube"/>
    <hyperlink ref="C496" r:id="rId495" display="YouTube"/>
    <hyperlink ref="C497" r:id="rId496" display="YouTube"/>
    <hyperlink ref="C498" r:id="rId497" display="YouTube"/>
    <hyperlink ref="C499" r:id="rId498" display="YouTube"/>
    <hyperlink ref="C500" r:id="rId499" display="YouTube"/>
    <hyperlink ref="C501" r:id="rId500" display="YouTube"/>
    <hyperlink ref="C502" r:id="rId501" display="YouTube"/>
    <hyperlink ref="C503" r:id="rId502" display="YouTube"/>
    <hyperlink ref="C504" r:id="rId503" display="YouTube"/>
    <hyperlink ref="C505" r:id="rId504" display="YouTube"/>
    <hyperlink ref="C506" r:id="rId505" display="YouTube"/>
    <hyperlink ref="C507" r:id="rId506" display="YouTube"/>
    <hyperlink ref="C508" r:id="rId507" display="YouTube"/>
    <hyperlink ref="C509" r:id="rId508" display="YouTube"/>
    <hyperlink ref="C510" r:id="rId509" display="YouTube"/>
    <hyperlink ref="C511" r:id="rId510" display="YouTube"/>
    <hyperlink ref="C512" r:id="rId511" display="YouTube"/>
    <hyperlink ref="C513" r:id="rId512" display="YouTube"/>
    <hyperlink ref="C514" r:id="rId513" display="YouTube"/>
    <hyperlink ref="C515" r:id="rId514" display="YouTube"/>
    <hyperlink ref="C516" r:id="rId515" display="YouTube"/>
    <hyperlink ref="C517" r:id="rId516" display="YouTube"/>
    <hyperlink ref="C518" r:id="rId517" display="YouTube"/>
    <hyperlink ref="C519" r:id="rId518" display="YouTube"/>
    <hyperlink ref="C520" r:id="rId519" display="YouTube"/>
    <hyperlink ref="C521" r:id="rId520" display="YouTube"/>
    <hyperlink ref="C522" r:id="rId521" display="YouTube"/>
    <hyperlink ref="C523" r:id="rId522" display="YouTube"/>
    <hyperlink ref="C524" r:id="rId523" display="YouTube"/>
    <hyperlink ref="C525" r:id="rId524" display="YouTube"/>
    <hyperlink ref="C526" r:id="rId525" display="YouTube"/>
    <hyperlink ref="C527" r:id="rId526" display="YouTube"/>
    <hyperlink ref="C528" r:id="rId527" display="YouTube"/>
    <hyperlink ref="C529" r:id="rId528" display="YouTube"/>
    <hyperlink ref="C530" r:id="rId529" display="YouTube"/>
    <hyperlink ref="C531" r:id="rId530" display="YouTube"/>
    <hyperlink ref="C532" r:id="rId531" display="YouTube"/>
    <hyperlink ref="C533" r:id="rId532" display="YouTube"/>
    <hyperlink ref="C534" r:id="rId533" display="YouTube"/>
    <hyperlink ref="C535" r:id="rId534" display="YouTube"/>
    <hyperlink ref="C536" r:id="rId535" display="YouTube"/>
    <hyperlink ref="C537" r:id="rId536" display="YouTube"/>
    <hyperlink ref="C538" r:id="rId537" display="YouTube"/>
    <hyperlink ref="C539" r:id="rId538" display="YouTube"/>
    <hyperlink ref="C540" r:id="rId539" display="YouTube"/>
    <hyperlink ref="C541" r:id="rId540" display="YouTube"/>
    <hyperlink ref="C542" r:id="rId541" display="YouTube"/>
    <hyperlink ref="C543" r:id="rId542" display="YouTube"/>
    <hyperlink ref="C544" r:id="rId543" display="YouTube"/>
    <hyperlink ref="C545" r:id="rId544" display="YouTube"/>
    <hyperlink ref="C546" r:id="rId545" display="YouTube"/>
    <hyperlink ref="C547" r:id="rId546" display="YouTube"/>
    <hyperlink ref="C548" r:id="rId547" display="YouTube"/>
    <hyperlink ref="C549" r:id="rId548" display="YouTube"/>
    <hyperlink ref="C550" r:id="rId549" display="YouTube"/>
    <hyperlink ref="C551" r:id="rId550" display="YouTube"/>
    <hyperlink ref="C552" r:id="rId551" display="YouTube"/>
    <hyperlink ref="C553" r:id="rId552" display="YouTube"/>
    <hyperlink ref="C554" r:id="rId553" display="YouTube"/>
    <hyperlink ref="C555" r:id="rId554" display="YouTube"/>
    <hyperlink ref="C556" r:id="rId555" display="YouTube"/>
    <hyperlink ref="C557" r:id="rId556" display="YouTube"/>
    <hyperlink ref="C558" r:id="rId557" display="YouTube"/>
    <hyperlink ref="C559" r:id="rId558" display="YouTube"/>
    <hyperlink ref="C560" r:id="rId559" display="YouTube"/>
    <hyperlink ref="C561" r:id="rId560" display="YouTube"/>
    <hyperlink ref="C562" r:id="rId561" display="YouTub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56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11"/>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20"/>
    <col collapsed="false" customWidth="true" hidden="false" outlineLevel="0" max="8" min="8" style="0" width="48"/>
    <col collapsed="false" customWidth="true" hidden="false" outlineLevel="0" max="9" min="9" style="0" width="40"/>
  </cols>
  <sheetData>
    <row r="1" customFormat="false" ht="35.05" hidden="false" customHeight="false" outlineLevel="0" collapsed="false">
      <c r="A1" s="4" t="s">
        <v>1622</v>
      </c>
      <c r="B1" s="4" t="s">
        <v>30</v>
      </c>
      <c r="C1" s="4" t="s">
        <v>1623</v>
      </c>
      <c r="D1" s="4" t="s">
        <v>1624</v>
      </c>
      <c r="E1" s="4" t="s">
        <v>1625</v>
      </c>
      <c r="F1" s="4" t="s">
        <v>1626</v>
      </c>
      <c r="G1" s="4" t="s">
        <v>1627</v>
      </c>
      <c r="H1" s="4" t="s">
        <v>1628</v>
      </c>
      <c r="I1" s="4" t="s">
        <v>1629</v>
      </c>
    </row>
    <row r="2" customFormat="false" ht="35.05" hidden="false" customHeight="false" outlineLevel="0" collapsed="false">
      <c r="A2" s="5" t="s">
        <v>162</v>
      </c>
      <c r="B2" s="2" t="s">
        <v>163</v>
      </c>
      <c r="C2" s="5" t="n">
        <f aca="false">COUNTIF(Kanallar!$D$2:$D$562,A2)</f>
        <v>23</v>
      </c>
      <c r="D2" s="7" t="n">
        <f aca="false">SUMIF(Kanallar!$D$2:$D$562,A2,Kanallar!$J$2:$J$562)</f>
        <v>162108</v>
      </c>
      <c r="E2" s="7" t="n">
        <f aca="false">IF(C2=0,0,D2/C2)</f>
        <v>7048.17391304348</v>
      </c>
      <c r="F2" s="7" t="n">
        <f aca="false">_xlfn.MAXIFS(Kanallar!$J$2:$J$562,Kanallar!$D$2:$D$562,A2)</f>
        <v>22386</v>
      </c>
      <c r="G2" s="5" t="str">
        <f aca="false">IF(C2&gt;=6,"Dolu (6+)",IF(C2&gt;=3,"Kısmen dolu (3-5)","Az rakip (1-2)"))</f>
        <v>Dolu (6+)</v>
      </c>
      <c r="H2" s="2" t="s">
        <v>1630</v>
      </c>
      <c r="I2" s="2" t="s">
        <v>1631</v>
      </c>
    </row>
    <row r="3" customFormat="false" ht="23.85" hidden="false" customHeight="false" outlineLevel="0" collapsed="false">
      <c r="A3" s="5" t="s">
        <v>50</v>
      </c>
      <c r="B3" s="2" t="s">
        <v>51</v>
      </c>
      <c r="C3" s="5" t="n">
        <f aca="false">COUNTIF(Kanallar!$D$2:$D$562,A3)</f>
        <v>16</v>
      </c>
      <c r="D3" s="7" t="n">
        <f aca="false">SUMIF(Kanallar!$D$2:$D$562,A3,Kanallar!$J$2:$J$562)</f>
        <v>161834</v>
      </c>
      <c r="E3" s="7" t="n">
        <f aca="false">IF(C3=0,0,D3/C3)</f>
        <v>10114.625</v>
      </c>
      <c r="F3" s="7" t="n">
        <f aca="false">_xlfn.MAXIFS(Kanallar!$J$2:$J$562,Kanallar!$D$2:$D$562,A3)</f>
        <v>64417</v>
      </c>
      <c r="G3" s="5" t="str">
        <f aca="false">IF(C3&gt;=6,"Dolu (6+)",IF(C3&gt;=3,"Kısmen dolu (3-5)","Az rakip (1-2)"))</f>
        <v>Dolu (6+)</v>
      </c>
      <c r="H3" s="2" t="s">
        <v>1630</v>
      </c>
      <c r="I3" s="2" t="s">
        <v>1632</v>
      </c>
    </row>
    <row r="4" customFormat="false" ht="35.05" hidden="false" customHeight="false" outlineLevel="0" collapsed="false">
      <c r="A4" s="5" t="s">
        <v>129</v>
      </c>
      <c r="B4" s="2" t="s">
        <v>130</v>
      </c>
      <c r="C4" s="5" t="n">
        <f aca="false">COUNTIF(Kanallar!$D$2:$D$562,A4)</f>
        <v>17</v>
      </c>
      <c r="D4" s="7" t="n">
        <f aca="false">SUMIF(Kanallar!$D$2:$D$562,A4,Kanallar!$J$2:$J$562)</f>
        <v>132046</v>
      </c>
      <c r="E4" s="7" t="n">
        <f aca="false">IF(C4=0,0,D4/C4)</f>
        <v>7767.41176470588</v>
      </c>
      <c r="F4" s="7" t="n">
        <f aca="false">_xlfn.MAXIFS(Kanallar!$J$2:$J$562,Kanallar!$D$2:$D$562,A4)</f>
        <v>30684</v>
      </c>
      <c r="G4" s="5" t="str">
        <f aca="false">IF(C4&gt;=6,"Dolu (6+)",IF(C4&gt;=3,"Kısmen dolu (3-5)","Az rakip (1-2)"))</f>
        <v>Dolu (6+)</v>
      </c>
      <c r="H4" s="2" t="s">
        <v>1630</v>
      </c>
      <c r="I4" s="2" t="s">
        <v>1633</v>
      </c>
    </row>
    <row r="5" customFormat="false" ht="35.05" hidden="false" customHeight="false" outlineLevel="0" collapsed="false">
      <c r="A5" s="5" t="s">
        <v>187</v>
      </c>
      <c r="B5" s="2" t="s">
        <v>188</v>
      </c>
      <c r="C5" s="5" t="n">
        <f aca="false">COUNTIF(Kanallar!$D$2:$D$562,A5)</f>
        <v>17</v>
      </c>
      <c r="D5" s="7" t="n">
        <f aca="false">SUMIF(Kanallar!$D$2:$D$562,A5,Kanallar!$J$2:$J$562)</f>
        <v>126084</v>
      </c>
      <c r="E5" s="7" t="n">
        <f aca="false">IF(C5=0,0,D5/C5)</f>
        <v>7416.70588235294</v>
      </c>
      <c r="F5" s="7" t="n">
        <f aca="false">_xlfn.MAXIFS(Kanallar!$J$2:$J$562,Kanallar!$D$2:$D$562,A5)</f>
        <v>18928</v>
      </c>
      <c r="G5" s="5" t="str">
        <f aca="false">IF(C5&gt;=6,"Dolu (6+)",IF(C5&gt;=3,"Kısmen dolu (3-5)","Az rakip (1-2)"))</f>
        <v>Dolu (6+)</v>
      </c>
      <c r="H5" s="2" t="s">
        <v>1630</v>
      </c>
      <c r="I5" s="2" t="s">
        <v>1634</v>
      </c>
    </row>
    <row r="6" customFormat="false" ht="35.05" hidden="false" customHeight="false" outlineLevel="0" collapsed="false">
      <c r="A6" s="5" t="s">
        <v>89</v>
      </c>
      <c r="B6" s="2" t="s">
        <v>90</v>
      </c>
      <c r="C6" s="5" t="n">
        <f aca="false">COUNTIF(Kanallar!$D$2:$D$562,A6)</f>
        <v>17</v>
      </c>
      <c r="D6" s="7" t="n">
        <f aca="false">SUMIF(Kanallar!$D$2:$D$562,A6,Kanallar!$J$2:$J$562)</f>
        <v>116808</v>
      </c>
      <c r="E6" s="7" t="n">
        <f aca="false">IF(C6=0,0,D6/C6)</f>
        <v>6871.05882352941</v>
      </c>
      <c r="F6" s="7" t="n">
        <f aca="false">_xlfn.MAXIFS(Kanallar!$J$2:$J$562,Kanallar!$D$2:$D$562,A6)</f>
        <v>42087</v>
      </c>
      <c r="G6" s="5" t="str">
        <f aca="false">IF(C6&gt;=6,"Dolu (6+)",IF(C6&gt;=3,"Kısmen dolu (3-5)","Az rakip (1-2)"))</f>
        <v>Dolu (6+)</v>
      </c>
      <c r="H6" s="2" t="s">
        <v>1630</v>
      </c>
      <c r="I6" s="2" t="s">
        <v>1635</v>
      </c>
    </row>
    <row r="7" customFormat="false" ht="15" hidden="false" customHeight="false" outlineLevel="0" collapsed="false">
      <c r="A7" s="5" t="s">
        <v>58</v>
      </c>
      <c r="B7" s="2" t="s">
        <v>59</v>
      </c>
      <c r="C7" s="5" t="n">
        <f aca="false">COUNTIF(Kanallar!$D$2:$D$562,A7)</f>
        <v>2</v>
      </c>
      <c r="D7" s="7" t="n">
        <f aca="false">SUMIF(Kanallar!$D$2:$D$562,A7,Kanallar!$J$2:$J$562)</f>
        <v>114102</v>
      </c>
      <c r="E7" s="7" t="n">
        <f aca="false">IF(C7=0,0,D7/C7)</f>
        <v>57051</v>
      </c>
      <c r="F7" s="7" t="n">
        <f aca="false">_xlfn.MAXIFS(Kanallar!$J$2:$J$562,Kanallar!$D$2:$D$562,A7)</f>
        <v>62793</v>
      </c>
      <c r="G7" s="5" t="str">
        <f aca="false">IF(C7&gt;=6,"Dolu (6+)",IF(C7&gt;=3,"Kısmen dolu (3-5)","Az rakip (1-2)"))</f>
        <v>Az rakip (1-2)</v>
      </c>
      <c r="H7" s="2" t="s">
        <v>1630</v>
      </c>
      <c r="I7" s="2" t="s">
        <v>1636</v>
      </c>
    </row>
    <row r="8" customFormat="false" ht="23.85" hidden="false" customHeight="false" outlineLevel="0" collapsed="false">
      <c r="A8" s="5" t="s">
        <v>99</v>
      </c>
      <c r="B8" s="2" t="s">
        <v>100</v>
      </c>
      <c r="C8" s="5" t="n">
        <f aca="false">COUNTIF(Kanallar!$D$2:$D$562,A8)</f>
        <v>11</v>
      </c>
      <c r="D8" s="7" t="n">
        <f aca="false">SUMIF(Kanallar!$D$2:$D$562,A8,Kanallar!$J$2:$J$562)</f>
        <v>92030</v>
      </c>
      <c r="E8" s="7" t="n">
        <f aca="false">IF(C8=0,0,D8/C8)</f>
        <v>8366.36363636364</v>
      </c>
      <c r="F8" s="7" t="n">
        <f aca="false">_xlfn.MAXIFS(Kanallar!$J$2:$J$562,Kanallar!$D$2:$D$562,A8)</f>
        <v>42051</v>
      </c>
      <c r="G8" s="5" t="str">
        <f aca="false">IF(C8&gt;=6,"Dolu (6+)",IF(C8&gt;=3,"Kısmen dolu (3-5)","Az rakip (1-2)"))</f>
        <v>Dolu (6+)</v>
      </c>
      <c r="H8" s="2" t="s">
        <v>1630</v>
      </c>
      <c r="I8" s="2" t="s">
        <v>1637</v>
      </c>
    </row>
    <row r="9" customFormat="false" ht="23.85" hidden="false" customHeight="false" outlineLevel="0" collapsed="false">
      <c r="A9" s="5" t="s">
        <v>83</v>
      </c>
      <c r="B9" s="2" t="s">
        <v>84</v>
      </c>
      <c r="C9" s="5" t="n">
        <f aca="false">COUNTIF(Kanallar!$D$2:$D$562,A9)</f>
        <v>14</v>
      </c>
      <c r="D9" s="7" t="n">
        <f aca="false">SUMIF(Kanallar!$D$2:$D$562,A9,Kanallar!$J$2:$J$562)</f>
        <v>78664</v>
      </c>
      <c r="E9" s="7" t="n">
        <f aca="false">IF(C9=0,0,D9/C9)</f>
        <v>5618.85714285714</v>
      </c>
      <c r="F9" s="7" t="n">
        <f aca="false">_xlfn.MAXIFS(Kanallar!$J$2:$J$562,Kanallar!$D$2:$D$562,A9)</f>
        <v>43332</v>
      </c>
      <c r="G9" s="5" t="str">
        <f aca="false">IF(C9&gt;=6,"Dolu (6+)",IF(C9&gt;=3,"Kısmen dolu (3-5)","Az rakip (1-2)"))</f>
        <v>Dolu (6+)</v>
      </c>
      <c r="H9" s="2" t="s">
        <v>1630</v>
      </c>
      <c r="I9" s="2" t="s">
        <v>1638</v>
      </c>
    </row>
    <row r="10" customFormat="false" ht="23.85" hidden="false" customHeight="false" outlineLevel="0" collapsed="false">
      <c r="A10" s="5" t="s">
        <v>139</v>
      </c>
      <c r="B10" s="2" t="s">
        <v>140</v>
      </c>
      <c r="C10" s="5" t="n">
        <f aca="false">COUNTIF(Kanallar!$D$2:$D$562,A10)</f>
        <v>12</v>
      </c>
      <c r="D10" s="7" t="n">
        <f aca="false">SUMIF(Kanallar!$D$2:$D$562,A10,Kanallar!$J$2:$J$562)</f>
        <v>77399</v>
      </c>
      <c r="E10" s="7" t="n">
        <f aca="false">IF(C10=0,0,D10/C10)</f>
        <v>6449.91666666667</v>
      </c>
      <c r="F10" s="7" t="n">
        <f aca="false">_xlfn.MAXIFS(Kanallar!$J$2:$J$562,Kanallar!$D$2:$D$562,A10)</f>
        <v>26791</v>
      </c>
      <c r="G10" s="5" t="str">
        <f aca="false">IF(C10&gt;=6,"Dolu (6+)",IF(C10&gt;=3,"Kısmen dolu (3-5)","Az rakip (1-2)"))</f>
        <v>Dolu (6+)</v>
      </c>
      <c r="H10" s="2" t="s">
        <v>1630</v>
      </c>
      <c r="I10" s="2" t="s">
        <v>1639</v>
      </c>
    </row>
    <row r="11" customFormat="false" ht="23.85" hidden="false" customHeight="false" outlineLevel="0" collapsed="false">
      <c r="A11" s="5" t="s">
        <v>227</v>
      </c>
      <c r="B11" s="2" t="s">
        <v>228</v>
      </c>
      <c r="C11" s="5" t="n">
        <f aca="false">COUNTIF(Kanallar!$D$2:$D$562,A11)</f>
        <v>12</v>
      </c>
      <c r="D11" s="7" t="n">
        <f aca="false">SUMIF(Kanallar!$D$2:$D$562,A11,Kanallar!$J$2:$J$562)</f>
        <v>74529</v>
      </c>
      <c r="E11" s="7" t="n">
        <f aca="false">IF(C11=0,0,D11/C11)</f>
        <v>6210.75</v>
      </c>
      <c r="F11" s="7" t="n">
        <f aca="false">_xlfn.MAXIFS(Kanallar!$J$2:$J$562,Kanallar!$D$2:$D$562,A11)</f>
        <v>15278</v>
      </c>
      <c r="G11" s="5" t="str">
        <f aca="false">IF(C11&gt;=6,"Dolu (6+)",IF(C11&gt;=3,"Kısmen dolu (3-5)","Az rakip (1-2)"))</f>
        <v>Dolu (6+)</v>
      </c>
      <c r="H11" s="2" t="s">
        <v>1630</v>
      </c>
      <c r="I11" s="2" t="s">
        <v>1640</v>
      </c>
    </row>
    <row r="12" customFormat="false" ht="23.85" hidden="false" customHeight="false" outlineLevel="0" collapsed="false">
      <c r="A12" s="5" t="s">
        <v>125</v>
      </c>
      <c r="B12" s="2" t="s">
        <v>126</v>
      </c>
      <c r="C12" s="5" t="n">
        <f aca="false">COUNTIF(Kanallar!$D$2:$D$562,A12)</f>
        <v>11</v>
      </c>
      <c r="D12" s="7" t="n">
        <f aca="false">SUMIF(Kanallar!$D$2:$D$562,A12,Kanallar!$J$2:$J$562)</f>
        <v>73173</v>
      </c>
      <c r="E12" s="7" t="n">
        <f aca="false">IF(C12=0,0,D12/C12)</f>
        <v>6652.09090909091</v>
      </c>
      <c r="F12" s="7" t="n">
        <f aca="false">_xlfn.MAXIFS(Kanallar!$J$2:$J$562,Kanallar!$D$2:$D$562,A12)</f>
        <v>31816</v>
      </c>
      <c r="G12" s="5" t="str">
        <f aca="false">IF(C12&gt;=6,"Dolu (6+)",IF(C12&gt;=3,"Kısmen dolu (3-5)","Az rakip (1-2)"))</f>
        <v>Dolu (6+)</v>
      </c>
      <c r="H12" s="2" t="s">
        <v>1630</v>
      </c>
      <c r="I12" s="2" t="s">
        <v>1641</v>
      </c>
    </row>
    <row r="13" customFormat="false" ht="23.85" hidden="false" customHeight="false" outlineLevel="0" collapsed="false">
      <c r="A13" s="5" t="s">
        <v>231</v>
      </c>
      <c r="B13" s="2" t="s">
        <v>232</v>
      </c>
      <c r="C13" s="5" t="n">
        <f aca="false">COUNTIF(Kanallar!$D$2:$D$562,A13)</f>
        <v>12</v>
      </c>
      <c r="D13" s="7" t="n">
        <f aca="false">SUMIF(Kanallar!$D$2:$D$562,A13,Kanallar!$J$2:$J$562)</f>
        <v>70554</v>
      </c>
      <c r="E13" s="7" t="n">
        <f aca="false">IF(C13=0,0,D13/C13)</f>
        <v>5879.5</v>
      </c>
      <c r="F13" s="7" t="n">
        <f aca="false">_xlfn.MAXIFS(Kanallar!$J$2:$J$562,Kanallar!$D$2:$D$562,A13)</f>
        <v>15086</v>
      </c>
      <c r="G13" s="5" t="str">
        <f aca="false">IF(C13&gt;=6,"Dolu (6+)",IF(C13&gt;=3,"Kısmen dolu (3-5)","Az rakip (1-2)"))</f>
        <v>Dolu (6+)</v>
      </c>
      <c r="H13" s="2" t="s">
        <v>1642</v>
      </c>
      <c r="I13" s="2" t="s">
        <v>1643</v>
      </c>
    </row>
    <row r="14" customFormat="false" ht="23.85" hidden="false" customHeight="false" outlineLevel="0" collapsed="false">
      <c r="A14" s="5" t="s">
        <v>170</v>
      </c>
      <c r="B14" s="2" t="s">
        <v>171</v>
      </c>
      <c r="C14" s="5" t="n">
        <f aca="false">COUNTIF(Kanallar!$D$2:$D$562,A14)</f>
        <v>11</v>
      </c>
      <c r="D14" s="7" t="n">
        <f aca="false">SUMIF(Kanallar!$D$2:$D$562,A14,Kanallar!$J$2:$J$562)</f>
        <v>70365</v>
      </c>
      <c r="E14" s="7" t="n">
        <f aca="false">IF(C14=0,0,D14/C14)</f>
        <v>6396.81818181818</v>
      </c>
      <c r="F14" s="7" t="n">
        <f aca="false">_xlfn.MAXIFS(Kanallar!$J$2:$J$562,Kanallar!$D$2:$D$562,A14)</f>
        <v>20269</v>
      </c>
      <c r="G14" s="5" t="str">
        <f aca="false">IF(C14&gt;=6,"Dolu (6+)",IF(C14&gt;=3,"Kısmen dolu (3-5)","Az rakip (1-2)"))</f>
        <v>Dolu (6+)</v>
      </c>
      <c r="H14" s="2" t="s">
        <v>1630</v>
      </c>
      <c r="I14" s="2" t="s">
        <v>1644</v>
      </c>
    </row>
    <row r="15" customFormat="false" ht="15" hidden="false" customHeight="false" outlineLevel="0" collapsed="false">
      <c r="A15" s="5" t="s">
        <v>106</v>
      </c>
      <c r="B15" s="2" t="s">
        <v>107</v>
      </c>
      <c r="C15" s="5" t="n">
        <f aca="false">COUNTIF(Kanallar!$D$2:$D$562,A15)</f>
        <v>8</v>
      </c>
      <c r="D15" s="7" t="n">
        <f aca="false">SUMIF(Kanallar!$D$2:$D$562,A15,Kanallar!$J$2:$J$562)</f>
        <v>70259</v>
      </c>
      <c r="E15" s="7" t="n">
        <f aca="false">IF(C15=0,0,D15/C15)</f>
        <v>8782.375</v>
      </c>
      <c r="F15" s="7" t="n">
        <f aca="false">_xlfn.MAXIFS(Kanallar!$J$2:$J$562,Kanallar!$D$2:$D$562,A15)</f>
        <v>34161</v>
      </c>
      <c r="G15" s="5" t="str">
        <f aca="false">IF(C15&gt;=6,"Dolu (6+)",IF(C15&gt;=3,"Kısmen dolu (3-5)","Az rakip (1-2)"))</f>
        <v>Dolu (6+)</v>
      </c>
      <c r="H15" s="2" t="s">
        <v>1630</v>
      </c>
      <c r="I15" s="2" t="s">
        <v>1645</v>
      </c>
    </row>
    <row r="16" customFormat="false" ht="15" hidden="false" customHeight="false" outlineLevel="0" collapsed="false">
      <c r="A16" s="5" t="s">
        <v>113</v>
      </c>
      <c r="B16" s="2" t="s">
        <v>114</v>
      </c>
      <c r="C16" s="5" t="n">
        <f aca="false">COUNTIF(Kanallar!$D$2:$D$562,A16)</f>
        <v>5</v>
      </c>
      <c r="D16" s="7" t="n">
        <f aca="false">SUMIF(Kanallar!$D$2:$D$562,A16,Kanallar!$J$2:$J$562)</f>
        <v>68492</v>
      </c>
      <c r="E16" s="7" t="n">
        <f aca="false">IF(C16=0,0,D16/C16)</f>
        <v>13698.4</v>
      </c>
      <c r="F16" s="7" t="n">
        <f aca="false">_xlfn.MAXIFS(Kanallar!$J$2:$J$562,Kanallar!$D$2:$D$562,A16)</f>
        <v>33468</v>
      </c>
      <c r="G16" s="5" t="str">
        <f aca="false">IF(C16&gt;=6,"Dolu (6+)",IF(C16&gt;=3,"Kısmen dolu (3-5)","Az rakip (1-2)"))</f>
        <v>Kısmen dolu (3-5)</v>
      </c>
      <c r="H16" s="2" t="s">
        <v>1646</v>
      </c>
      <c r="I16" s="2" t="s">
        <v>1647</v>
      </c>
    </row>
    <row r="17" customFormat="false" ht="23.85" hidden="false" customHeight="false" outlineLevel="0" collapsed="false">
      <c r="A17" s="5" t="s">
        <v>351</v>
      </c>
      <c r="B17" s="2" t="s">
        <v>352</v>
      </c>
      <c r="C17" s="5" t="n">
        <f aca="false">COUNTIF(Kanallar!$D$2:$D$562,A17)</f>
        <v>15</v>
      </c>
      <c r="D17" s="7" t="n">
        <f aca="false">SUMIF(Kanallar!$D$2:$D$562,A17,Kanallar!$J$2:$J$562)</f>
        <v>67148</v>
      </c>
      <c r="E17" s="7" t="n">
        <f aca="false">IF(C17=0,0,D17/C17)</f>
        <v>4476.53333333333</v>
      </c>
      <c r="F17" s="7" t="n">
        <f aca="false">_xlfn.MAXIFS(Kanallar!$J$2:$J$562,Kanallar!$D$2:$D$562,A17)</f>
        <v>10801</v>
      </c>
      <c r="G17" s="5" t="str">
        <f aca="false">IF(C17&gt;=6,"Dolu (6+)",IF(C17&gt;=3,"Kısmen dolu (3-5)","Az rakip (1-2)"))</f>
        <v>Dolu (6+)</v>
      </c>
      <c r="H17" s="2" t="s">
        <v>1630</v>
      </c>
      <c r="I17" s="2" t="s">
        <v>1648</v>
      </c>
    </row>
    <row r="18" customFormat="false" ht="23.85" hidden="false" customHeight="false" outlineLevel="0" collapsed="false">
      <c r="A18" s="5" t="s">
        <v>307</v>
      </c>
      <c r="B18" s="2" t="s">
        <v>308</v>
      </c>
      <c r="C18" s="5" t="n">
        <f aca="false">COUNTIF(Kanallar!$D$2:$D$562,A18)</f>
        <v>14</v>
      </c>
      <c r="D18" s="7" t="n">
        <f aca="false">SUMIF(Kanallar!$D$2:$D$562,A18,Kanallar!$J$2:$J$562)</f>
        <v>57257</v>
      </c>
      <c r="E18" s="7" t="n">
        <f aca="false">IF(C18=0,0,D18/C18)</f>
        <v>4089.78571428571</v>
      </c>
      <c r="F18" s="7" t="n">
        <f aca="false">_xlfn.MAXIFS(Kanallar!$J$2:$J$562,Kanallar!$D$2:$D$562,A18)</f>
        <v>12256</v>
      </c>
      <c r="G18" s="5" t="str">
        <f aca="false">IF(C18&gt;=6,"Dolu (6+)",IF(C18&gt;=3,"Kısmen dolu (3-5)","Az rakip (1-2)"))</f>
        <v>Dolu (6+)</v>
      </c>
      <c r="H18" s="2" t="s">
        <v>1630</v>
      </c>
      <c r="I18" s="2" t="s">
        <v>1649</v>
      </c>
    </row>
    <row r="19" customFormat="false" ht="23.85" hidden="false" customHeight="false" outlineLevel="0" collapsed="false">
      <c r="A19" s="5" t="s">
        <v>200</v>
      </c>
      <c r="B19" s="2" t="s">
        <v>201</v>
      </c>
      <c r="C19" s="5" t="n">
        <f aca="false">COUNTIF(Kanallar!$D$2:$D$562,A19)</f>
        <v>14</v>
      </c>
      <c r="D19" s="7" t="n">
        <f aca="false">SUMIF(Kanallar!$D$2:$D$562,A19,Kanallar!$J$2:$J$562)</f>
        <v>56544</v>
      </c>
      <c r="E19" s="7" t="n">
        <f aca="false">IF(C19=0,0,D19/C19)</f>
        <v>4038.85714285714</v>
      </c>
      <c r="F19" s="7" t="n">
        <f aca="false">_xlfn.MAXIFS(Kanallar!$J$2:$J$562,Kanallar!$D$2:$D$562,A19)</f>
        <v>18115</v>
      </c>
      <c r="G19" s="5" t="str">
        <f aca="false">IF(C19&gt;=6,"Dolu (6+)",IF(C19&gt;=3,"Kısmen dolu (3-5)","Az rakip (1-2)"))</f>
        <v>Dolu (6+)</v>
      </c>
      <c r="H19" s="2" t="s">
        <v>1630</v>
      </c>
      <c r="I19" s="2" t="s">
        <v>1650</v>
      </c>
    </row>
    <row r="20" customFormat="false" ht="23.85" hidden="false" customHeight="false" outlineLevel="0" collapsed="false">
      <c r="A20" s="5" t="s">
        <v>282</v>
      </c>
      <c r="B20" s="2" t="s">
        <v>283</v>
      </c>
      <c r="C20" s="5" t="n">
        <f aca="false">COUNTIF(Kanallar!$D$2:$D$562,A20)</f>
        <v>10</v>
      </c>
      <c r="D20" s="7" t="n">
        <f aca="false">SUMIF(Kanallar!$D$2:$D$562,A20,Kanallar!$J$2:$J$562)</f>
        <v>56348</v>
      </c>
      <c r="E20" s="7" t="n">
        <f aca="false">IF(C20=0,0,D20/C20)</f>
        <v>5634.8</v>
      </c>
      <c r="F20" s="7" t="n">
        <f aca="false">_xlfn.MAXIFS(Kanallar!$J$2:$J$562,Kanallar!$D$2:$D$562,A20)</f>
        <v>13270</v>
      </c>
      <c r="G20" s="5" t="str">
        <f aca="false">IF(C20&gt;=6,"Dolu (6+)",IF(C20&gt;=3,"Kısmen dolu (3-5)","Az rakip (1-2)"))</f>
        <v>Dolu (6+)</v>
      </c>
      <c r="H20" s="2" t="s">
        <v>1630</v>
      </c>
      <c r="I20" s="2" t="s">
        <v>1651</v>
      </c>
    </row>
    <row r="21" customFormat="false" ht="23.85" hidden="false" customHeight="false" outlineLevel="0" collapsed="false">
      <c r="A21" s="5" t="s">
        <v>274</v>
      </c>
      <c r="B21" s="2" t="s">
        <v>275</v>
      </c>
      <c r="C21" s="5" t="n">
        <f aca="false">COUNTIF(Kanallar!$D$2:$D$562,A21)</f>
        <v>12</v>
      </c>
      <c r="D21" s="7" t="n">
        <f aca="false">SUMIF(Kanallar!$D$2:$D$562,A21,Kanallar!$J$2:$J$562)</f>
        <v>55278</v>
      </c>
      <c r="E21" s="7" t="n">
        <f aca="false">IF(C21=0,0,D21/C21)</f>
        <v>4606.5</v>
      </c>
      <c r="F21" s="7" t="n">
        <f aca="false">_xlfn.MAXIFS(Kanallar!$J$2:$J$562,Kanallar!$D$2:$D$562,A21)</f>
        <v>13383</v>
      </c>
      <c r="G21" s="5" t="str">
        <f aca="false">IF(C21&gt;=6,"Dolu (6+)",IF(C21&gt;=3,"Kısmen dolu (3-5)","Az rakip (1-2)"))</f>
        <v>Dolu (6+)</v>
      </c>
      <c r="H21" s="2" t="s">
        <v>1630</v>
      </c>
      <c r="I21" s="2" t="s">
        <v>1652</v>
      </c>
    </row>
    <row r="22" customFormat="false" ht="23.85" hidden="false" customHeight="false" outlineLevel="0" collapsed="false">
      <c r="A22" s="5" t="s">
        <v>205</v>
      </c>
      <c r="B22" s="2" t="s">
        <v>206</v>
      </c>
      <c r="C22" s="5" t="n">
        <f aca="false">COUNTIF(Kanallar!$D$2:$D$562,A22)</f>
        <v>9</v>
      </c>
      <c r="D22" s="7" t="n">
        <f aca="false">SUMIF(Kanallar!$D$2:$D$562,A22,Kanallar!$J$2:$J$562)</f>
        <v>53580</v>
      </c>
      <c r="E22" s="7" t="n">
        <f aca="false">IF(C22=0,0,D22/C22)</f>
        <v>5953.33333333333</v>
      </c>
      <c r="F22" s="7" t="n">
        <f aca="false">_xlfn.MAXIFS(Kanallar!$J$2:$J$562,Kanallar!$D$2:$D$562,A22)</f>
        <v>17885</v>
      </c>
      <c r="G22" s="5" t="str">
        <f aca="false">IF(C22&gt;=6,"Dolu (6+)",IF(C22&gt;=3,"Kısmen dolu (3-5)","Az rakip (1-2)"))</f>
        <v>Dolu (6+)</v>
      </c>
      <c r="H22" s="2" t="s">
        <v>1630</v>
      </c>
      <c r="I22" s="2" t="s">
        <v>1653</v>
      </c>
    </row>
    <row r="23" customFormat="false" ht="23.85" hidden="false" customHeight="false" outlineLevel="0" collapsed="false">
      <c r="A23" s="5" t="s">
        <v>217</v>
      </c>
      <c r="B23" s="2" t="s">
        <v>218</v>
      </c>
      <c r="C23" s="5" t="n">
        <f aca="false">COUNTIF(Kanallar!$D$2:$D$562,A23)</f>
        <v>10</v>
      </c>
      <c r="D23" s="7" t="n">
        <f aca="false">SUMIF(Kanallar!$D$2:$D$562,A23,Kanallar!$J$2:$J$562)</f>
        <v>53123</v>
      </c>
      <c r="E23" s="7" t="n">
        <f aca="false">IF(C23=0,0,D23/C23)</f>
        <v>5312.3</v>
      </c>
      <c r="F23" s="7" t="n">
        <f aca="false">_xlfn.MAXIFS(Kanallar!$J$2:$J$562,Kanallar!$D$2:$D$562,A23)</f>
        <v>17434</v>
      </c>
      <c r="G23" s="5" t="str">
        <f aca="false">IF(C23&gt;=6,"Dolu (6+)",IF(C23&gt;=3,"Kısmen dolu (3-5)","Az rakip (1-2)"))</f>
        <v>Dolu (6+)</v>
      </c>
      <c r="H23" s="2" t="s">
        <v>1654</v>
      </c>
      <c r="I23" s="2" t="s">
        <v>1655</v>
      </c>
    </row>
    <row r="24" customFormat="false" ht="15" hidden="false" customHeight="false" outlineLevel="0" collapsed="false">
      <c r="A24" s="5" t="s">
        <v>74</v>
      </c>
      <c r="B24" s="2" t="s">
        <v>75</v>
      </c>
      <c r="C24" s="5" t="n">
        <f aca="false">COUNTIF(Kanallar!$D$2:$D$562,A24)</f>
        <v>3</v>
      </c>
      <c r="D24" s="7" t="n">
        <f aca="false">SUMIF(Kanallar!$D$2:$D$562,A24,Kanallar!$J$2:$J$562)</f>
        <v>52702</v>
      </c>
      <c r="E24" s="7" t="n">
        <f aca="false">IF(C24=0,0,D24/C24)</f>
        <v>17567.3333333333</v>
      </c>
      <c r="F24" s="7" t="n">
        <f aca="false">_xlfn.MAXIFS(Kanallar!$J$2:$J$562,Kanallar!$D$2:$D$562,A24)</f>
        <v>46580</v>
      </c>
      <c r="G24" s="5" t="str">
        <f aca="false">IF(C24&gt;=6,"Dolu (6+)",IF(C24&gt;=3,"Kısmen dolu (3-5)","Az rakip (1-2)"))</f>
        <v>Kısmen dolu (3-5)</v>
      </c>
      <c r="H24" s="2" t="s">
        <v>1656</v>
      </c>
      <c r="I24" s="2" t="s">
        <v>1657</v>
      </c>
    </row>
    <row r="25" customFormat="false" ht="15" hidden="false" customHeight="false" outlineLevel="0" collapsed="false">
      <c r="A25" s="5" t="s">
        <v>319</v>
      </c>
      <c r="B25" s="2" t="s">
        <v>320</v>
      </c>
      <c r="C25" s="5" t="n">
        <f aca="false">COUNTIF(Kanallar!$D$2:$D$562,A25)</f>
        <v>7</v>
      </c>
      <c r="D25" s="7" t="n">
        <f aca="false">SUMIF(Kanallar!$D$2:$D$562,A25,Kanallar!$J$2:$J$562)</f>
        <v>52628</v>
      </c>
      <c r="E25" s="7" t="n">
        <f aca="false">IF(C25=0,0,D25/C25)</f>
        <v>7518.28571428572</v>
      </c>
      <c r="F25" s="7" t="n">
        <f aca="false">_xlfn.MAXIFS(Kanallar!$J$2:$J$562,Kanallar!$D$2:$D$562,A25)</f>
        <v>12117</v>
      </c>
      <c r="G25" s="5" t="str">
        <f aca="false">IF(C25&gt;=6,"Dolu (6+)",IF(C25&gt;=3,"Kısmen dolu (3-5)","Az rakip (1-2)"))</f>
        <v>Dolu (6+)</v>
      </c>
      <c r="H25" s="2" t="s">
        <v>1630</v>
      </c>
      <c r="I25" s="2" t="s">
        <v>1658</v>
      </c>
    </row>
    <row r="26" customFormat="false" ht="23.85" hidden="false" customHeight="false" outlineLevel="0" collapsed="false">
      <c r="A26" s="5" t="s">
        <v>554</v>
      </c>
      <c r="B26" s="2" t="s">
        <v>555</v>
      </c>
      <c r="C26" s="5" t="n">
        <f aca="false">COUNTIF(Kanallar!$D$2:$D$562,A26)</f>
        <v>14</v>
      </c>
      <c r="D26" s="7" t="n">
        <f aca="false">SUMIF(Kanallar!$D$2:$D$562,A26,Kanallar!$J$2:$J$562)</f>
        <v>51384</v>
      </c>
      <c r="E26" s="7" t="n">
        <f aca="false">IF(C26=0,0,D26/C26)</f>
        <v>3670.28571428571</v>
      </c>
      <c r="F26" s="7" t="n">
        <f aca="false">_xlfn.MAXIFS(Kanallar!$J$2:$J$562,Kanallar!$D$2:$D$562,A26)</f>
        <v>6865</v>
      </c>
      <c r="G26" s="5" t="str">
        <f aca="false">IF(C26&gt;=6,"Dolu (6+)",IF(C26&gt;=3,"Kısmen dolu (3-5)","Az rakip (1-2)"))</f>
        <v>Dolu (6+)</v>
      </c>
      <c r="H26" s="2" t="s">
        <v>1659</v>
      </c>
      <c r="I26" s="2" t="s">
        <v>1660</v>
      </c>
    </row>
    <row r="27" customFormat="false" ht="15" hidden="false" customHeight="false" outlineLevel="0" collapsed="false">
      <c r="A27" s="5" t="s">
        <v>68</v>
      </c>
      <c r="B27" s="2" t="s">
        <v>69</v>
      </c>
      <c r="C27" s="5" t="n">
        <f aca="false">COUNTIF(Kanallar!$D$2:$D$562,A27)</f>
        <v>1</v>
      </c>
      <c r="D27" s="7" t="n">
        <f aca="false">SUMIF(Kanallar!$D$2:$D$562,A27,Kanallar!$J$2:$J$562)</f>
        <v>47833</v>
      </c>
      <c r="E27" s="7" t="n">
        <f aca="false">IF(C27=0,0,D27/C27)</f>
        <v>47833</v>
      </c>
      <c r="F27" s="7" t="n">
        <f aca="false">_xlfn.MAXIFS(Kanallar!$J$2:$J$562,Kanallar!$D$2:$D$562,A27)</f>
        <v>47833</v>
      </c>
      <c r="G27" s="5" t="str">
        <f aca="false">IF(C27&gt;=6,"Dolu (6+)",IF(C27&gt;=3,"Kısmen dolu (3-5)","Az rakip (1-2)"))</f>
        <v>Az rakip (1-2)</v>
      </c>
      <c r="H27" s="2" t="s">
        <v>1630</v>
      </c>
      <c r="I27" s="2" t="s">
        <v>1661</v>
      </c>
    </row>
    <row r="28" customFormat="false" ht="23.85" hidden="false" customHeight="false" outlineLevel="0" collapsed="false">
      <c r="A28" s="5" t="s">
        <v>385</v>
      </c>
      <c r="B28" s="2" t="s">
        <v>386</v>
      </c>
      <c r="C28" s="5" t="n">
        <f aca="false">COUNTIF(Kanallar!$D$2:$D$562,A28)</f>
        <v>10</v>
      </c>
      <c r="D28" s="7" t="n">
        <f aca="false">SUMIF(Kanallar!$D$2:$D$562,A28,Kanallar!$J$2:$J$562)</f>
        <v>47567</v>
      </c>
      <c r="E28" s="7" t="n">
        <f aca="false">IF(C28=0,0,D28/C28)</f>
        <v>4756.7</v>
      </c>
      <c r="F28" s="7" t="n">
        <f aca="false">_xlfn.MAXIFS(Kanallar!$J$2:$J$562,Kanallar!$D$2:$D$562,A28)</f>
        <v>10019</v>
      </c>
      <c r="G28" s="5" t="str">
        <f aca="false">IF(C28&gt;=6,"Dolu (6+)",IF(C28&gt;=3,"Kısmen dolu (3-5)","Az rakip (1-2)"))</f>
        <v>Dolu (6+)</v>
      </c>
      <c r="H28" s="2" t="s">
        <v>1630</v>
      </c>
      <c r="I28" s="2" t="s">
        <v>1662</v>
      </c>
    </row>
    <row r="29" customFormat="false" ht="15" hidden="false" customHeight="false" outlineLevel="0" collapsed="false">
      <c r="A29" s="5" t="s">
        <v>210</v>
      </c>
      <c r="B29" s="2" t="s">
        <v>211</v>
      </c>
      <c r="C29" s="5" t="n">
        <f aca="false">COUNTIF(Kanallar!$D$2:$D$562,A29)</f>
        <v>7</v>
      </c>
      <c r="D29" s="7" t="n">
        <f aca="false">SUMIF(Kanallar!$D$2:$D$562,A29,Kanallar!$J$2:$J$562)</f>
        <v>45562</v>
      </c>
      <c r="E29" s="7" t="n">
        <f aca="false">IF(C29=0,0,D29/C29)</f>
        <v>6508.85714285714</v>
      </c>
      <c r="F29" s="7" t="n">
        <f aca="false">_xlfn.MAXIFS(Kanallar!$J$2:$J$562,Kanallar!$D$2:$D$562,A29)</f>
        <v>17823</v>
      </c>
      <c r="G29" s="5" t="str">
        <f aca="false">IF(C29&gt;=6,"Dolu (6+)",IF(C29&gt;=3,"Kısmen dolu (3-5)","Az rakip (1-2)"))</f>
        <v>Dolu (6+)</v>
      </c>
      <c r="H29" s="2" t="s">
        <v>1630</v>
      </c>
      <c r="I29" s="2" t="s">
        <v>1663</v>
      </c>
    </row>
    <row r="30" customFormat="false" ht="23.85" hidden="false" customHeight="false" outlineLevel="0" collapsed="false">
      <c r="A30" s="5" t="s">
        <v>399</v>
      </c>
      <c r="B30" s="2" t="s">
        <v>400</v>
      </c>
      <c r="C30" s="5" t="n">
        <f aca="false">COUNTIF(Kanallar!$D$2:$D$562,A30)</f>
        <v>11</v>
      </c>
      <c r="D30" s="7" t="n">
        <f aca="false">SUMIF(Kanallar!$D$2:$D$562,A30,Kanallar!$J$2:$J$562)</f>
        <v>38800</v>
      </c>
      <c r="E30" s="7" t="n">
        <f aca="false">IF(C30=0,0,D30/C30)</f>
        <v>3527.27272727273</v>
      </c>
      <c r="F30" s="7" t="n">
        <f aca="false">_xlfn.MAXIFS(Kanallar!$J$2:$J$562,Kanallar!$D$2:$D$562,A30)</f>
        <v>9644</v>
      </c>
      <c r="G30" s="5" t="str">
        <f aca="false">IF(C30&gt;=6,"Dolu (6+)",IF(C30&gt;=3,"Kısmen dolu (3-5)","Az rakip (1-2)"))</f>
        <v>Dolu (6+)</v>
      </c>
      <c r="H30" s="2" t="s">
        <v>1630</v>
      </c>
      <c r="I30" s="2" t="s">
        <v>1664</v>
      </c>
    </row>
    <row r="31" customFormat="false" ht="23.85" hidden="false" customHeight="false" outlineLevel="0" collapsed="false">
      <c r="A31" s="5" t="s">
        <v>418</v>
      </c>
      <c r="B31" s="2" t="s">
        <v>419</v>
      </c>
      <c r="C31" s="5" t="n">
        <f aca="false">COUNTIF(Kanallar!$D$2:$D$562,A31)</f>
        <v>9</v>
      </c>
      <c r="D31" s="7" t="n">
        <f aca="false">SUMIF(Kanallar!$D$2:$D$562,A31,Kanallar!$J$2:$J$562)</f>
        <v>36870</v>
      </c>
      <c r="E31" s="7" t="n">
        <f aca="false">IF(C31=0,0,D31/C31)</f>
        <v>4096.66666666667</v>
      </c>
      <c r="F31" s="7" t="n">
        <f aca="false">_xlfn.MAXIFS(Kanallar!$J$2:$J$562,Kanallar!$D$2:$D$562,A31)</f>
        <v>9216</v>
      </c>
      <c r="G31" s="5" t="str">
        <f aca="false">IF(C31&gt;=6,"Dolu (6+)",IF(C31&gt;=3,"Kısmen dolu (3-5)","Az rakip (1-2)"))</f>
        <v>Dolu (6+)</v>
      </c>
      <c r="H31" s="2" t="s">
        <v>1630</v>
      </c>
      <c r="I31" s="2" t="s">
        <v>1665</v>
      </c>
    </row>
    <row r="32" customFormat="false" ht="15" hidden="false" customHeight="false" outlineLevel="0" collapsed="false">
      <c r="A32" s="5" t="s">
        <v>119</v>
      </c>
      <c r="B32" s="2" t="s">
        <v>120</v>
      </c>
      <c r="C32" s="5" t="n">
        <f aca="false">COUNTIF(Kanallar!$D$2:$D$562,A32)</f>
        <v>2</v>
      </c>
      <c r="D32" s="7" t="n">
        <f aca="false">SUMIF(Kanallar!$D$2:$D$562,A32,Kanallar!$J$2:$J$562)</f>
        <v>35612</v>
      </c>
      <c r="E32" s="7" t="n">
        <f aca="false">IF(C32=0,0,D32/C32)</f>
        <v>17806</v>
      </c>
      <c r="F32" s="7" t="n">
        <f aca="false">_xlfn.MAXIFS(Kanallar!$J$2:$J$562,Kanallar!$D$2:$D$562,A32)</f>
        <v>32061</v>
      </c>
      <c r="G32" s="5" t="str">
        <f aca="false">IF(C32&gt;=6,"Dolu (6+)",IF(C32&gt;=3,"Kısmen dolu (3-5)","Az rakip (1-2)"))</f>
        <v>Az rakip (1-2)</v>
      </c>
      <c r="H32" s="2" t="s">
        <v>1630</v>
      </c>
      <c r="I32" s="2" t="s">
        <v>1666</v>
      </c>
    </row>
    <row r="33" customFormat="false" ht="15" hidden="false" customHeight="false" outlineLevel="0" collapsed="false">
      <c r="A33" s="5" t="s">
        <v>196</v>
      </c>
      <c r="B33" s="2" t="s">
        <v>197</v>
      </c>
      <c r="C33" s="5" t="n">
        <f aca="false">COUNTIF(Kanallar!$D$2:$D$562,A33)</f>
        <v>5</v>
      </c>
      <c r="D33" s="7" t="n">
        <f aca="false">SUMIF(Kanallar!$D$2:$D$562,A33,Kanallar!$J$2:$J$562)</f>
        <v>34995</v>
      </c>
      <c r="E33" s="7" t="n">
        <f aca="false">IF(C33=0,0,D33/C33)</f>
        <v>6999</v>
      </c>
      <c r="F33" s="7" t="n">
        <f aca="false">_xlfn.MAXIFS(Kanallar!$J$2:$J$562,Kanallar!$D$2:$D$562,A33)</f>
        <v>18195</v>
      </c>
      <c r="G33" s="5" t="str">
        <f aca="false">IF(C33&gt;=6,"Dolu (6+)",IF(C33&gt;=3,"Kısmen dolu (3-5)","Az rakip (1-2)"))</f>
        <v>Kısmen dolu (3-5)</v>
      </c>
      <c r="H33" s="2" t="s">
        <v>1630</v>
      </c>
      <c r="I33" s="2" t="s">
        <v>1667</v>
      </c>
    </row>
    <row r="34" customFormat="false" ht="15" hidden="false" customHeight="false" outlineLevel="0" collapsed="false">
      <c r="A34" s="5" t="s">
        <v>254</v>
      </c>
      <c r="B34" s="2" t="s">
        <v>255</v>
      </c>
      <c r="C34" s="5" t="n">
        <f aca="false">COUNTIF(Kanallar!$D$2:$D$562,A34)</f>
        <v>4</v>
      </c>
      <c r="D34" s="7" t="n">
        <f aca="false">SUMIF(Kanallar!$D$2:$D$562,A34,Kanallar!$J$2:$J$562)</f>
        <v>33500</v>
      </c>
      <c r="E34" s="7" t="n">
        <f aca="false">IF(C34=0,0,D34/C34)</f>
        <v>8375</v>
      </c>
      <c r="F34" s="7" t="n">
        <f aca="false">_xlfn.MAXIFS(Kanallar!$J$2:$J$562,Kanallar!$D$2:$D$562,A34)</f>
        <v>14071</v>
      </c>
      <c r="G34" s="5" t="str">
        <f aca="false">IF(C34&gt;=6,"Dolu (6+)",IF(C34&gt;=3,"Kısmen dolu (3-5)","Az rakip (1-2)"))</f>
        <v>Kısmen dolu (3-5)</v>
      </c>
      <c r="H34" s="2" t="s">
        <v>1630</v>
      </c>
      <c r="I34" s="2" t="s">
        <v>1668</v>
      </c>
    </row>
    <row r="35" customFormat="false" ht="23.85" hidden="false" customHeight="false" outlineLevel="0" collapsed="false">
      <c r="A35" s="5" t="s">
        <v>270</v>
      </c>
      <c r="B35" s="2" t="s">
        <v>271</v>
      </c>
      <c r="C35" s="5" t="n">
        <f aca="false">COUNTIF(Kanallar!$D$2:$D$562,A35)</f>
        <v>6</v>
      </c>
      <c r="D35" s="7" t="n">
        <f aca="false">SUMIF(Kanallar!$D$2:$D$562,A35,Kanallar!$J$2:$J$562)</f>
        <v>33099</v>
      </c>
      <c r="E35" s="7" t="n">
        <f aca="false">IF(C35=0,0,D35/C35)</f>
        <v>5516.5</v>
      </c>
      <c r="F35" s="7" t="n">
        <f aca="false">_xlfn.MAXIFS(Kanallar!$J$2:$J$562,Kanallar!$D$2:$D$562,A35)</f>
        <v>13407</v>
      </c>
      <c r="G35" s="5" t="str">
        <f aca="false">IF(C35&gt;=6,"Dolu (6+)",IF(C35&gt;=3,"Kısmen dolu (3-5)","Az rakip (1-2)"))</f>
        <v>Dolu (6+)</v>
      </c>
      <c r="H35" s="2" t="s">
        <v>1630</v>
      </c>
      <c r="I35" s="2" t="s">
        <v>1669</v>
      </c>
    </row>
    <row r="36" customFormat="false" ht="15" hidden="false" customHeight="false" outlineLevel="0" collapsed="false">
      <c r="A36" s="5" t="s">
        <v>448</v>
      </c>
      <c r="B36" s="2" t="s">
        <v>449</v>
      </c>
      <c r="C36" s="5" t="n">
        <f aca="false">COUNTIF(Kanallar!$D$2:$D$562,A36)</f>
        <v>8</v>
      </c>
      <c r="D36" s="7" t="n">
        <f aca="false">SUMIF(Kanallar!$D$2:$D$562,A36,Kanallar!$J$2:$J$562)</f>
        <v>32041</v>
      </c>
      <c r="E36" s="7" t="n">
        <f aca="false">IF(C36=0,0,D36/C36)</f>
        <v>4005.125</v>
      </c>
      <c r="F36" s="7" t="n">
        <f aca="false">_xlfn.MAXIFS(Kanallar!$J$2:$J$562,Kanallar!$D$2:$D$562,A36)</f>
        <v>8692</v>
      </c>
      <c r="G36" s="5" t="str">
        <f aca="false">IF(C36&gt;=6,"Dolu (6+)",IF(C36&gt;=3,"Kısmen dolu (3-5)","Az rakip (1-2)"))</f>
        <v>Dolu (6+)</v>
      </c>
      <c r="H36" s="2" t="s">
        <v>1630</v>
      </c>
      <c r="I36" s="2" t="s">
        <v>1670</v>
      </c>
    </row>
    <row r="37" customFormat="false" ht="15" hidden="false" customHeight="false" outlineLevel="0" collapsed="false">
      <c r="A37" s="5" t="s">
        <v>134</v>
      </c>
      <c r="B37" s="2" t="s">
        <v>135</v>
      </c>
      <c r="C37" s="5" t="n">
        <f aca="false">COUNTIF(Kanallar!$D$2:$D$562,A37)</f>
        <v>2</v>
      </c>
      <c r="D37" s="7" t="n">
        <f aca="false">SUMIF(Kanallar!$D$2:$D$562,A37,Kanallar!$J$2:$J$562)</f>
        <v>31863</v>
      </c>
      <c r="E37" s="7" t="n">
        <f aca="false">IF(C37=0,0,D37/C37)</f>
        <v>15931.5</v>
      </c>
      <c r="F37" s="7" t="n">
        <f aca="false">_xlfn.MAXIFS(Kanallar!$J$2:$J$562,Kanallar!$D$2:$D$562,A37)</f>
        <v>28757</v>
      </c>
      <c r="G37" s="5" t="str">
        <f aca="false">IF(C37&gt;=6,"Dolu (6+)",IF(C37&gt;=3,"Kısmen dolu (3-5)","Az rakip (1-2)"))</f>
        <v>Az rakip (1-2)</v>
      </c>
      <c r="H37" s="2" t="s">
        <v>1630</v>
      </c>
      <c r="I37" s="2" t="s">
        <v>1671</v>
      </c>
    </row>
    <row r="38" customFormat="false" ht="15" hidden="false" customHeight="false" outlineLevel="0" collapsed="false">
      <c r="A38" s="5" t="s">
        <v>515</v>
      </c>
      <c r="B38" s="2" t="s">
        <v>516</v>
      </c>
      <c r="C38" s="5" t="n">
        <f aca="false">COUNTIF(Kanallar!$D$2:$D$562,A38)</f>
        <v>8</v>
      </c>
      <c r="D38" s="7" t="n">
        <f aca="false">SUMIF(Kanallar!$D$2:$D$562,A38,Kanallar!$J$2:$J$562)</f>
        <v>30755</v>
      </c>
      <c r="E38" s="7" t="n">
        <f aca="false">IF(C38=0,0,D38/C38)</f>
        <v>3844.375</v>
      </c>
      <c r="F38" s="7" t="n">
        <f aca="false">_xlfn.MAXIFS(Kanallar!$J$2:$J$562,Kanallar!$D$2:$D$562,A38)</f>
        <v>7601</v>
      </c>
      <c r="G38" s="5" t="str">
        <f aca="false">IF(C38&gt;=6,"Dolu (6+)",IF(C38&gt;=3,"Kısmen dolu (3-5)","Az rakip (1-2)"))</f>
        <v>Dolu (6+)</v>
      </c>
      <c r="H38" s="2" t="s">
        <v>1630</v>
      </c>
      <c r="I38" s="2" t="s">
        <v>1672</v>
      </c>
    </row>
    <row r="39" customFormat="false" ht="15" hidden="false" customHeight="false" outlineLevel="0" collapsed="false">
      <c r="A39" s="5" t="s">
        <v>408</v>
      </c>
      <c r="B39" s="2" t="s">
        <v>409</v>
      </c>
      <c r="C39" s="5" t="n">
        <f aca="false">COUNTIF(Kanallar!$D$2:$D$562,A39)</f>
        <v>4</v>
      </c>
      <c r="D39" s="7" t="n">
        <f aca="false">SUMIF(Kanallar!$D$2:$D$562,A39,Kanallar!$J$2:$J$562)</f>
        <v>30566</v>
      </c>
      <c r="E39" s="7" t="n">
        <f aca="false">IF(C39=0,0,D39/C39)</f>
        <v>7641.5</v>
      </c>
      <c r="F39" s="7" t="n">
        <f aca="false">_xlfn.MAXIFS(Kanallar!$J$2:$J$562,Kanallar!$D$2:$D$562,A39)</f>
        <v>9555</v>
      </c>
      <c r="G39" s="5" t="str">
        <f aca="false">IF(C39&gt;=6,"Dolu (6+)",IF(C39&gt;=3,"Kısmen dolu (3-5)","Az rakip (1-2)"))</f>
        <v>Kısmen dolu (3-5)</v>
      </c>
      <c r="H39" s="2" t="s">
        <v>1630</v>
      </c>
      <c r="I39" s="2" t="s">
        <v>1673</v>
      </c>
    </row>
    <row r="40" customFormat="false" ht="15" hidden="false" customHeight="false" outlineLevel="0" collapsed="false">
      <c r="A40" s="5" t="s">
        <v>314</v>
      </c>
      <c r="B40" s="2" t="s">
        <v>315</v>
      </c>
      <c r="C40" s="5" t="n">
        <f aca="false">COUNTIF(Kanallar!$D$2:$D$562,A40)</f>
        <v>6</v>
      </c>
      <c r="D40" s="7" t="n">
        <f aca="false">SUMIF(Kanallar!$D$2:$D$562,A40,Kanallar!$J$2:$J$562)</f>
        <v>28722</v>
      </c>
      <c r="E40" s="7" t="n">
        <f aca="false">IF(C40=0,0,D40/C40)</f>
        <v>4787</v>
      </c>
      <c r="F40" s="7" t="n">
        <f aca="false">_xlfn.MAXIFS(Kanallar!$J$2:$J$562,Kanallar!$D$2:$D$562,A40)</f>
        <v>12139</v>
      </c>
      <c r="G40" s="5" t="str">
        <f aca="false">IF(C40&gt;=6,"Dolu (6+)",IF(C40&gt;=3,"Kısmen dolu (3-5)","Az rakip (1-2)"))</f>
        <v>Dolu (6+)</v>
      </c>
      <c r="H40" s="2" t="s">
        <v>1630</v>
      </c>
      <c r="I40" s="2" t="s">
        <v>1674</v>
      </c>
    </row>
    <row r="41" customFormat="false" ht="15" hidden="false" customHeight="false" outlineLevel="0" collapsed="false">
      <c r="A41" s="5" t="s">
        <v>545</v>
      </c>
      <c r="B41" s="2" t="s">
        <v>546</v>
      </c>
      <c r="C41" s="5" t="n">
        <f aca="false">COUNTIF(Kanallar!$D$2:$D$562,A41)</f>
        <v>7</v>
      </c>
      <c r="D41" s="7" t="n">
        <f aca="false">SUMIF(Kanallar!$D$2:$D$562,A41,Kanallar!$J$2:$J$562)</f>
        <v>28177</v>
      </c>
      <c r="E41" s="7" t="n">
        <f aca="false">IF(C41=0,0,D41/C41)</f>
        <v>4025.28571428571</v>
      </c>
      <c r="F41" s="7" t="n">
        <f aca="false">_xlfn.MAXIFS(Kanallar!$J$2:$J$562,Kanallar!$D$2:$D$562,A41)</f>
        <v>6934</v>
      </c>
      <c r="G41" s="5" t="str">
        <f aca="false">IF(C41&gt;=6,"Dolu (6+)",IF(C41&gt;=3,"Kısmen dolu (3-5)","Az rakip (1-2)"))</f>
        <v>Dolu (6+)</v>
      </c>
      <c r="H41" s="2" t="s">
        <v>1630</v>
      </c>
      <c r="I41" s="2" t="s">
        <v>1675</v>
      </c>
    </row>
    <row r="42" customFormat="false" ht="23.85" hidden="false" customHeight="false" outlineLevel="0" collapsed="false">
      <c r="A42" s="5" t="s">
        <v>792</v>
      </c>
      <c r="B42" s="2" t="s">
        <v>793</v>
      </c>
      <c r="C42" s="5" t="n">
        <f aca="false">COUNTIF(Kanallar!$D$2:$D$562,A42)</f>
        <v>10</v>
      </c>
      <c r="D42" s="7" t="n">
        <f aca="false">SUMIF(Kanallar!$D$2:$D$562,A42,Kanallar!$J$2:$J$562)</f>
        <v>26890</v>
      </c>
      <c r="E42" s="7" t="n">
        <f aca="false">IF(C42=0,0,D42/C42)</f>
        <v>2689</v>
      </c>
      <c r="F42" s="7" t="n">
        <f aca="false">_xlfn.MAXIFS(Kanallar!$J$2:$J$562,Kanallar!$D$2:$D$562,A42)</f>
        <v>4525</v>
      </c>
      <c r="G42" s="5" t="str">
        <f aca="false">IF(C42&gt;=6,"Dolu (6+)",IF(C42&gt;=3,"Kısmen dolu (3-5)","Az rakip (1-2)"))</f>
        <v>Dolu (6+)</v>
      </c>
      <c r="H42" s="2" t="s">
        <v>1630</v>
      </c>
      <c r="I42" s="2" t="s">
        <v>1676</v>
      </c>
    </row>
    <row r="43" customFormat="false" ht="15" hidden="false" customHeight="false" outlineLevel="0" collapsed="false">
      <c r="A43" s="5" t="s">
        <v>146</v>
      </c>
      <c r="B43" s="2" t="s">
        <v>147</v>
      </c>
      <c r="C43" s="5" t="n">
        <f aca="false">COUNTIF(Kanallar!$D$2:$D$562,A43)</f>
        <v>1</v>
      </c>
      <c r="D43" s="7" t="n">
        <f aca="false">SUMIF(Kanallar!$D$2:$D$562,A43,Kanallar!$J$2:$J$562)</f>
        <v>25952</v>
      </c>
      <c r="E43" s="7" t="n">
        <f aca="false">IF(C43=0,0,D43/C43)</f>
        <v>25952</v>
      </c>
      <c r="F43" s="7" t="n">
        <f aca="false">_xlfn.MAXIFS(Kanallar!$J$2:$J$562,Kanallar!$D$2:$D$562,A43)</f>
        <v>25952</v>
      </c>
      <c r="G43" s="5" t="str">
        <f aca="false">IF(C43&gt;=6,"Dolu (6+)",IF(C43&gt;=3,"Kısmen dolu (3-5)","Az rakip (1-2)"))</f>
        <v>Az rakip (1-2)</v>
      </c>
      <c r="H43" s="2" t="s">
        <v>1677</v>
      </c>
      <c r="I43" s="2" t="s">
        <v>1678</v>
      </c>
    </row>
    <row r="44" customFormat="false" ht="15" hidden="false" customHeight="false" outlineLevel="0" collapsed="false">
      <c r="A44" s="5" t="s">
        <v>223</v>
      </c>
      <c r="B44" s="2" t="s">
        <v>224</v>
      </c>
      <c r="C44" s="5" t="n">
        <f aca="false">COUNTIF(Kanallar!$D$2:$D$562,A44)</f>
        <v>6</v>
      </c>
      <c r="D44" s="7" t="n">
        <f aca="false">SUMIF(Kanallar!$D$2:$D$562,A44,Kanallar!$J$2:$J$562)</f>
        <v>25450</v>
      </c>
      <c r="E44" s="7" t="n">
        <f aca="false">IF(C44=0,0,D44/C44)</f>
        <v>4241.66666666667</v>
      </c>
      <c r="F44" s="7" t="n">
        <f aca="false">_xlfn.MAXIFS(Kanallar!$J$2:$J$562,Kanallar!$D$2:$D$562,A44)</f>
        <v>16237</v>
      </c>
      <c r="G44" s="5" t="str">
        <f aca="false">IF(C44&gt;=6,"Dolu (6+)",IF(C44&gt;=3,"Kısmen dolu (3-5)","Az rakip (1-2)"))</f>
        <v>Dolu (6+)</v>
      </c>
      <c r="H44" s="2" t="s">
        <v>1630</v>
      </c>
      <c r="I44" s="2" t="s">
        <v>1679</v>
      </c>
    </row>
    <row r="45" customFormat="false" ht="15" hidden="false" customHeight="false" outlineLevel="0" collapsed="false">
      <c r="A45" s="5" t="s">
        <v>150</v>
      </c>
      <c r="B45" s="2" t="s">
        <v>151</v>
      </c>
      <c r="C45" s="5" t="n">
        <f aca="false">COUNTIF(Kanallar!$D$2:$D$562,A45)</f>
        <v>1</v>
      </c>
      <c r="D45" s="7" t="n">
        <f aca="false">SUMIF(Kanallar!$D$2:$D$562,A45,Kanallar!$J$2:$J$562)</f>
        <v>25328</v>
      </c>
      <c r="E45" s="7" t="n">
        <f aca="false">IF(C45=0,0,D45/C45)</f>
        <v>25328</v>
      </c>
      <c r="F45" s="7" t="n">
        <f aca="false">_xlfn.MAXIFS(Kanallar!$J$2:$J$562,Kanallar!$D$2:$D$562,A45)</f>
        <v>25328</v>
      </c>
      <c r="G45" s="5" t="str">
        <f aca="false">IF(C45&gt;=6,"Dolu (6+)",IF(C45&gt;=3,"Kısmen dolu (3-5)","Az rakip (1-2)"))</f>
        <v>Az rakip (1-2)</v>
      </c>
      <c r="H45" s="2" t="s">
        <v>1680</v>
      </c>
      <c r="I45" s="2" t="s">
        <v>1681</v>
      </c>
    </row>
    <row r="46" customFormat="false" ht="15" hidden="false" customHeight="false" outlineLevel="0" collapsed="false">
      <c r="A46" s="5" t="s">
        <v>342</v>
      </c>
      <c r="B46" s="2" t="s">
        <v>343</v>
      </c>
      <c r="C46" s="5" t="n">
        <f aca="false">COUNTIF(Kanallar!$D$2:$D$562,A46)</f>
        <v>4</v>
      </c>
      <c r="D46" s="7" t="n">
        <f aca="false">SUMIF(Kanallar!$D$2:$D$562,A46,Kanallar!$J$2:$J$562)</f>
        <v>25121</v>
      </c>
      <c r="E46" s="7" t="n">
        <f aca="false">IF(C46=0,0,D46/C46)</f>
        <v>6280.25</v>
      </c>
      <c r="F46" s="7" t="n">
        <f aca="false">_xlfn.MAXIFS(Kanallar!$J$2:$J$562,Kanallar!$D$2:$D$562,A46)</f>
        <v>11166</v>
      </c>
      <c r="G46" s="5" t="str">
        <f aca="false">IF(C46&gt;=6,"Dolu (6+)",IF(C46&gt;=3,"Kısmen dolu (3-5)","Az rakip (1-2)"))</f>
        <v>Kısmen dolu (3-5)</v>
      </c>
      <c r="H46" s="2" t="s">
        <v>1630</v>
      </c>
      <c r="I46" s="2" t="s">
        <v>1682</v>
      </c>
    </row>
    <row r="47" customFormat="false" ht="15" hidden="false" customHeight="false" outlineLevel="0" collapsed="false">
      <c r="A47" s="5" t="s">
        <v>575</v>
      </c>
      <c r="B47" s="2" t="s">
        <v>576</v>
      </c>
      <c r="C47" s="5" t="n">
        <f aca="false">COUNTIF(Kanallar!$D$2:$D$562,A47)</f>
        <v>8</v>
      </c>
      <c r="D47" s="7" t="n">
        <f aca="false">SUMIF(Kanallar!$D$2:$D$562,A47,Kanallar!$J$2:$J$562)</f>
        <v>23949</v>
      </c>
      <c r="E47" s="7" t="n">
        <f aca="false">IF(C47=0,0,D47/C47)</f>
        <v>2993.625</v>
      </c>
      <c r="F47" s="7" t="n">
        <f aca="false">_xlfn.MAXIFS(Kanallar!$J$2:$J$562,Kanallar!$D$2:$D$562,A47)</f>
        <v>6718</v>
      </c>
      <c r="G47" s="5" t="str">
        <f aca="false">IF(C47&gt;=6,"Dolu (6+)",IF(C47&gt;=3,"Kısmen dolu (3-5)","Az rakip (1-2)"))</f>
        <v>Dolu (6+)</v>
      </c>
      <c r="H47" s="2" t="s">
        <v>1630</v>
      </c>
      <c r="I47" s="2" t="s">
        <v>1683</v>
      </c>
    </row>
    <row r="48" customFormat="false" ht="15" hidden="false" customHeight="false" outlineLevel="0" collapsed="false">
      <c r="A48" s="5" t="s">
        <v>404</v>
      </c>
      <c r="B48" s="2" t="s">
        <v>405</v>
      </c>
      <c r="C48" s="5" t="n">
        <f aca="false">COUNTIF(Kanallar!$D$2:$D$562,A48)</f>
        <v>6</v>
      </c>
      <c r="D48" s="7" t="n">
        <f aca="false">SUMIF(Kanallar!$D$2:$D$562,A48,Kanallar!$J$2:$J$562)</f>
        <v>21952</v>
      </c>
      <c r="E48" s="7" t="n">
        <f aca="false">IF(C48=0,0,D48/C48)</f>
        <v>3658.66666666667</v>
      </c>
      <c r="F48" s="7" t="n">
        <f aca="false">_xlfn.MAXIFS(Kanallar!$J$2:$J$562,Kanallar!$D$2:$D$562,A48)</f>
        <v>9599</v>
      </c>
      <c r="G48" s="5" t="str">
        <f aca="false">IF(C48&gt;=6,"Dolu (6+)",IF(C48&gt;=3,"Kısmen dolu (3-5)","Az rakip (1-2)"))</f>
        <v>Dolu (6+)</v>
      </c>
      <c r="H48" s="2" t="s">
        <v>1630</v>
      </c>
      <c r="I48" s="2" t="s">
        <v>1684</v>
      </c>
    </row>
    <row r="49" customFormat="false" ht="15" hidden="false" customHeight="false" outlineLevel="0" collapsed="false">
      <c r="A49" s="5" t="s">
        <v>566</v>
      </c>
      <c r="B49" s="2" t="s">
        <v>567</v>
      </c>
      <c r="C49" s="5" t="n">
        <f aca="false">COUNTIF(Kanallar!$D$2:$D$562,A49)</f>
        <v>5</v>
      </c>
      <c r="D49" s="7" t="n">
        <f aca="false">SUMIF(Kanallar!$D$2:$D$562,A49,Kanallar!$J$2:$J$562)</f>
        <v>21692</v>
      </c>
      <c r="E49" s="7" t="n">
        <f aca="false">IF(C49=0,0,D49/C49)</f>
        <v>4338.4</v>
      </c>
      <c r="F49" s="7" t="n">
        <f aca="false">_xlfn.MAXIFS(Kanallar!$J$2:$J$562,Kanallar!$D$2:$D$562,A49)</f>
        <v>6728</v>
      </c>
      <c r="G49" s="5" t="str">
        <f aca="false">IF(C49&gt;=6,"Dolu (6+)",IF(C49&gt;=3,"Kısmen dolu (3-5)","Az rakip (1-2)"))</f>
        <v>Kısmen dolu (3-5)</v>
      </c>
      <c r="H49" s="2" t="s">
        <v>1685</v>
      </c>
      <c r="I49" s="2" t="s">
        <v>1686</v>
      </c>
    </row>
    <row r="50" customFormat="false" ht="15" hidden="false" customHeight="false" outlineLevel="0" collapsed="false">
      <c r="A50" s="5" t="s">
        <v>394</v>
      </c>
      <c r="B50" s="2" t="s">
        <v>395</v>
      </c>
      <c r="C50" s="5" t="n">
        <f aca="false">COUNTIF(Kanallar!$D$2:$D$562,A50)</f>
        <v>3</v>
      </c>
      <c r="D50" s="7" t="n">
        <f aca="false">SUMIF(Kanallar!$D$2:$D$562,A50,Kanallar!$J$2:$J$562)</f>
        <v>21415</v>
      </c>
      <c r="E50" s="7" t="n">
        <f aca="false">IF(C50=0,0,D50/C50)</f>
        <v>7138.33333333333</v>
      </c>
      <c r="F50" s="7" t="n">
        <f aca="false">_xlfn.MAXIFS(Kanallar!$J$2:$J$562,Kanallar!$D$2:$D$562,A50)</f>
        <v>9686</v>
      </c>
      <c r="G50" s="5" t="str">
        <f aca="false">IF(C50&gt;=6,"Dolu (6+)",IF(C50&gt;=3,"Kısmen dolu (3-5)","Az rakip (1-2)"))</f>
        <v>Kısmen dolu (3-5)</v>
      </c>
      <c r="H50" s="2" t="s">
        <v>1630</v>
      </c>
      <c r="I50" s="2" t="s">
        <v>1687</v>
      </c>
    </row>
    <row r="51" customFormat="false" ht="15" hidden="false" customHeight="false" outlineLevel="0" collapsed="false">
      <c r="A51" s="5" t="s">
        <v>191</v>
      </c>
      <c r="B51" s="2" t="s">
        <v>192</v>
      </c>
      <c r="C51" s="5" t="n">
        <f aca="false">COUNTIF(Kanallar!$D$2:$D$562,A51)</f>
        <v>2</v>
      </c>
      <c r="D51" s="7" t="n">
        <f aca="false">SUMIF(Kanallar!$D$2:$D$562,A51,Kanallar!$J$2:$J$562)</f>
        <v>21176</v>
      </c>
      <c r="E51" s="7" t="n">
        <f aca="false">IF(C51=0,0,D51/C51)</f>
        <v>10588</v>
      </c>
      <c r="F51" s="7" t="n">
        <f aca="false">_xlfn.MAXIFS(Kanallar!$J$2:$J$562,Kanallar!$D$2:$D$562,A51)</f>
        <v>18478</v>
      </c>
      <c r="G51" s="5" t="str">
        <f aca="false">IF(C51&gt;=6,"Dolu (6+)",IF(C51&gt;=3,"Kısmen dolu (3-5)","Az rakip (1-2)"))</f>
        <v>Az rakip (1-2)</v>
      </c>
      <c r="H51" s="2" t="s">
        <v>1630</v>
      </c>
      <c r="I51" s="2" t="s">
        <v>1688</v>
      </c>
    </row>
    <row r="52" customFormat="false" ht="15" hidden="false" customHeight="false" outlineLevel="0" collapsed="false">
      <c r="A52" s="5" t="s">
        <v>719</v>
      </c>
      <c r="B52" s="2" t="s">
        <v>720</v>
      </c>
      <c r="C52" s="5" t="n">
        <f aca="false">COUNTIF(Kanallar!$D$2:$D$562,A52)</f>
        <v>6</v>
      </c>
      <c r="D52" s="7" t="n">
        <f aca="false">SUMIF(Kanallar!$D$2:$D$562,A52,Kanallar!$J$2:$J$562)</f>
        <v>21147</v>
      </c>
      <c r="E52" s="7" t="n">
        <f aca="false">IF(C52=0,0,D52/C52)</f>
        <v>3524.5</v>
      </c>
      <c r="F52" s="7" t="n">
        <f aca="false">_xlfn.MAXIFS(Kanallar!$J$2:$J$562,Kanallar!$D$2:$D$562,A52)</f>
        <v>5251</v>
      </c>
      <c r="G52" s="5" t="str">
        <f aca="false">IF(C52&gt;=6,"Dolu (6+)",IF(C52&gt;=3,"Kısmen dolu (3-5)","Az rakip (1-2)"))</f>
        <v>Dolu (6+)</v>
      </c>
      <c r="H52" s="2" t="s">
        <v>1630</v>
      </c>
      <c r="I52" s="2" t="s">
        <v>1689</v>
      </c>
    </row>
    <row r="53" customFormat="false" ht="15" hidden="false" customHeight="false" outlineLevel="0" collapsed="false">
      <c r="A53" s="5" t="s">
        <v>633</v>
      </c>
      <c r="B53" s="2" t="s">
        <v>634</v>
      </c>
      <c r="C53" s="5" t="n">
        <f aca="false">COUNTIF(Kanallar!$D$2:$D$562,A53)</f>
        <v>7</v>
      </c>
      <c r="D53" s="7" t="n">
        <f aca="false">SUMIF(Kanallar!$D$2:$D$562,A53,Kanallar!$J$2:$J$562)</f>
        <v>21108</v>
      </c>
      <c r="E53" s="7" t="n">
        <f aca="false">IF(C53=0,0,D53/C53)</f>
        <v>3015.42857142857</v>
      </c>
      <c r="F53" s="7" t="n">
        <f aca="false">_xlfn.MAXIFS(Kanallar!$J$2:$J$562,Kanallar!$D$2:$D$562,A53)</f>
        <v>5855</v>
      </c>
      <c r="G53" s="5" t="str">
        <f aca="false">IF(C53&gt;=6,"Dolu (6+)",IF(C53&gt;=3,"Kısmen dolu (3-5)","Az rakip (1-2)"))</f>
        <v>Dolu (6+)</v>
      </c>
      <c r="H53" s="2" t="s">
        <v>1630</v>
      </c>
      <c r="I53" s="2" t="s">
        <v>1690</v>
      </c>
    </row>
    <row r="54" customFormat="false" ht="15" hidden="false" customHeight="false" outlineLevel="0" collapsed="false">
      <c r="A54" s="5" t="s">
        <v>331</v>
      </c>
      <c r="B54" s="2" t="s">
        <v>332</v>
      </c>
      <c r="C54" s="5" t="n">
        <f aca="false">COUNTIF(Kanallar!$D$2:$D$562,A54)</f>
        <v>2</v>
      </c>
      <c r="D54" s="7" t="n">
        <f aca="false">SUMIF(Kanallar!$D$2:$D$562,A54,Kanallar!$J$2:$J$562)</f>
        <v>20187</v>
      </c>
      <c r="E54" s="7" t="n">
        <f aca="false">IF(C54=0,0,D54/C54)</f>
        <v>10093.5</v>
      </c>
      <c r="F54" s="7" t="n">
        <f aca="false">_xlfn.MAXIFS(Kanallar!$J$2:$J$562,Kanallar!$D$2:$D$562,A54)</f>
        <v>11594</v>
      </c>
      <c r="G54" s="5" t="str">
        <f aca="false">IF(C54&gt;=6,"Dolu (6+)",IF(C54&gt;=3,"Kısmen dolu (3-5)","Az rakip (1-2)"))</f>
        <v>Az rakip (1-2)</v>
      </c>
      <c r="H54" s="2" t="s">
        <v>1630</v>
      </c>
      <c r="I54" s="2" t="s">
        <v>1691</v>
      </c>
    </row>
    <row r="55" customFormat="false" ht="15" hidden="false" customHeight="false" outlineLevel="0" collapsed="false">
      <c r="A55" s="5" t="s">
        <v>571</v>
      </c>
      <c r="B55" s="2" t="s">
        <v>572</v>
      </c>
      <c r="C55" s="5" t="n">
        <f aca="false">COUNTIF(Kanallar!$D$2:$D$562,A55)</f>
        <v>4</v>
      </c>
      <c r="D55" s="7" t="n">
        <f aca="false">SUMIF(Kanallar!$D$2:$D$562,A55,Kanallar!$J$2:$J$562)</f>
        <v>20032</v>
      </c>
      <c r="E55" s="7" t="n">
        <f aca="false">IF(C55=0,0,D55/C55)</f>
        <v>5008</v>
      </c>
      <c r="F55" s="7" t="n">
        <f aca="false">_xlfn.MAXIFS(Kanallar!$J$2:$J$562,Kanallar!$D$2:$D$562,A55)</f>
        <v>6726</v>
      </c>
      <c r="G55" s="5" t="str">
        <f aca="false">IF(C55&gt;=6,"Dolu (6+)",IF(C55&gt;=3,"Kısmen dolu (3-5)","Az rakip (1-2)"))</f>
        <v>Kısmen dolu (3-5)</v>
      </c>
      <c r="H55" s="2" t="s">
        <v>1630</v>
      </c>
      <c r="I55" s="2" t="s">
        <v>1692</v>
      </c>
    </row>
    <row r="56" customFormat="false" ht="15" hidden="false" customHeight="false" outlineLevel="0" collapsed="false">
      <c r="A56" s="5" t="s">
        <v>303</v>
      </c>
      <c r="B56" s="2" t="s">
        <v>304</v>
      </c>
      <c r="C56" s="5" t="n">
        <f aca="false">COUNTIF(Kanallar!$D$2:$D$562,A56)</f>
        <v>3</v>
      </c>
      <c r="D56" s="7" t="n">
        <f aca="false">SUMIF(Kanallar!$D$2:$D$562,A56,Kanallar!$J$2:$J$562)</f>
        <v>19367</v>
      </c>
      <c r="E56" s="7" t="n">
        <f aca="false">IF(C56=0,0,D56/C56)</f>
        <v>6455.66666666667</v>
      </c>
      <c r="F56" s="7" t="n">
        <f aca="false">_xlfn.MAXIFS(Kanallar!$J$2:$J$562,Kanallar!$D$2:$D$562,A56)</f>
        <v>12262</v>
      </c>
      <c r="G56" s="5" t="str">
        <f aca="false">IF(C56&gt;=6,"Dolu (6+)",IF(C56&gt;=3,"Kısmen dolu (3-5)","Az rakip (1-2)"))</f>
        <v>Kısmen dolu (3-5)</v>
      </c>
      <c r="H56" s="2" t="s">
        <v>1630</v>
      </c>
      <c r="I56" s="2" t="s">
        <v>1693</v>
      </c>
    </row>
    <row r="57" customFormat="false" ht="15" hidden="false" customHeight="false" outlineLevel="0" collapsed="false">
      <c r="A57" s="5" t="s">
        <v>423</v>
      </c>
      <c r="B57" s="2" t="s">
        <v>424</v>
      </c>
      <c r="C57" s="5" t="n">
        <f aca="false">COUNTIF(Kanallar!$D$2:$D$562,A57)</f>
        <v>3</v>
      </c>
      <c r="D57" s="7" t="n">
        <f aca="false">SUMIF(Kanallar!$D$2:$D$562,A57,Kanallar!$J$2:$J$562)</f>
        <v>17463</v>
      </c>
      <c r="E57" s="7" t="n">
        <f aca="false">IF(C57=0,0,D57/C57)</f>
        <v>5821</v>
      </c>
      <c r="F57" s="7" t="n">
        <f aca="false">_xlfn.MAXIFS(Kanallar!$J$2:$J$562,Kanallar!$D$2:$D$562,A57)</f>
        <v>9214</v>
      </c>
      <c r="G57" s="5" t="str">
        <f aca="false">IF(C57&gt;=6,"Dolu (6+)",IF(C57&gt;=3,"Kısmen dolu (3-5)","Az rakip (1-2)"))</f>
        <v>Kısmen dolu (3-5)</v>
      </c>
      <c r="H57" s="2" t="s">
        <v>1630</v>
      </c>
      <c r="I57" s="2" t="s">
        <v>1694</v>
      </c>
    </row>
    <row r="58" customFormat="false" ht="15" hidden="false" customHeight="false" outlineLevel="0" collapsed="false">
      <c r="A58" s="5" t="s">
        <v>708</v>
      </c>
      <c r="B58" s="2" t="s">
        <v>709</v>
      </c>
      <c r="C58" s="5" t="n">
        <f aca="false">COUNTIF(Kanallar!$D$2:$D$562,A58)</f>
        <v>4</v>
      </c>
      <c r="D58" s="7" t="n">
        <f aca="false">SUMIF(Kanallar!$D$2:$D$562,A58,Kanallar!$J$2:$J$562)</f>
        <v>16251</v>
      </c>
      <c r="E58" s="7" t="n">
        <f aca="false">IF(C58=0,0,D58/C58)</f>
        <v>4062.75</v>
      </c>
      <c r="F58" s="7" t="n">
        <f aca="false">_xlfn.MAXIFS(Kanallar!$J$2:$J$562,Kanallar!$D$2:$D$562,A58)</f>
        <v>5306</v>
      </c>
      <c r="G58" s="5" t="str">
        <f aca="false">IF(C58&gt;=6,"Dolu (6+)",IF(C58&gt;=3,"Kısmen dolu (3-5)","Az rakip (1-2)"))</f>
        <v>Kısmen dolu (3-5)</v>
      </c>
      <c r="H58" s="2" t="s">
        <v>1630</v>
      </c>
      <c r="I58" s="2" t="s">
        <v>1695</v>
      </c>
    </row>
    <row r="59" customFormat="false" ht="15" hidden="false" customHeight="false" outlineLevel="0" collapsed="false">
      <c r="A59" s="5" t="s">
        <v>844</v>
      </c>
      <c r="B59" s="2" t="s">
        <v>845</v>
      </c>
      <c r="C59" s="5" t="n">
        <f aca="false">COUNTIF(Kanallar!$D$2:$D$562,A59)</f>
        <v>6</v>
      </c>
      <c r="D59" s="7" t="n">
        <f aca="false">SUMIF(Kanallar!$D$2:$D$562,A59,Kanallar!$J$2:$J$562)</f>
        <v>15832</v>
      </c>
      <c r="E59" s="7" t="n">
        <f aca="false">IF(C59=0,0,D59/C59)</f>
        <v>2638.66666666667</v>
      </c>
      <c r="F59" s="7" t="n">
        <f aca="false">_xlfn.MAXIFS(Kanallar!$J$2:$J$562,Kanallar!$D$2:$D$562,A59)</f>
        <v>4109</v>
      </c>
      <c r="G59" s="5" t="str">
        <f aca="false">IF(C59&gt;=6,"Dolu (6+)",IF(C59&gt;=3,"Kısmen dolu (3-5)","Az rakip (1-2)"))</f>
        <v>Dolu (6+)</v>
      </c>
      <c r="H59" s="2" t="s">
        <v>1630</v>
      </c>
      <c r="I59" s="2" t="s">
        <v>1696</v>
      </c>
    </row>
    <row r="60" customFormat="false" ht="15" hidden="false" customHeight="false" outlineLevel="0" collapsed="false">
      <c r="A60" s="5" t="s">
        <v>525</v>
      </c>
      <c r="B60" s="2" t="s">
        <v>526</v>
      </c>
      <c r="C60" s="5" t="n">
        <f aca="false">COUNTIF(Kanallar!$D$2:$D$562,A60)</f>
        <v>3</v>
      </c>
      <c r="D60" s="7" t="n">
        <f aca="false">SUMIF(Kanallar!$D$2:$D$562,A60,Kanallar!$J$2:$J$562)</f>
        <v>15332</v>
      </c>
      <c r="E60" s="7" t="n">
        <f aca="false">IF(C60=0,0,D60/C60)</f>
        <v>5110.66666666667</v>
      </c>
      <c r="F60" s="7" t="n">
        <f aca="false">_xlfn.MAXIFS(Kanallar!$J$2:$J$562,Kanallar!$D$2:$D$562,A60)</f>
        <v>7434</v>
      </c>
      <c r="G60" s="5" t="str">
        <f aca="false">IF(C60&gt;=6,"Dolu (6+)",IF(C60&gt;=3,"Kısmen dolu (3-5)","Az rakip (1-2)"))</f>
        <v>Kısmen dolu (3-5)</v>
      </c>
      <c r="H60" s="2" t="s">
        <v>1630</v>
      </c>
      <c r="I60" s="2" t="s">
        <v>1697</v>
      </c>
    </row>
    <row r="61" customFormat="false" ht="15" hidden="false" customHeight="false" outlineLevel="0" collapsed="false">
      <c r="A61" s="5" t="s">
        <v>235</v>
      </c>
      <c r="B61" s="2" t="s">
        <v>236</v>
      </c>
      <c r="C61" s="5" t="n">
        <f aca="false">COUNTIF(Kanallar!$D$2:$D$562,A61)</f>
        <v>1</v>
      </c>
      <c r="D61" s="7" t="n">
        <f aca="false">SUMIF(Kanallar!$D$2:$D$562,A61,Kanallar!$J$2:$J$562)</f>
        <v>15084</v>
      </c>
      <c r="E61" s="7" t="n">
        <f aca="false">IF(C61=0,0,D61/C61)</f>
        <v>15084</v>
      </c>
      <c r="F61" s="7" t="n">
        <f aca="false">_xlfn.MAXIFS(Kanallar!$J$2:$J$562,Kanallar!$D$2:$D$562,A61)</f>
        <v>15084</v>
      </c>
      <c r="G61" s="5" t="str">
        <f aca="false">IF(C61&gt;=6,"Dolu (6+)",IF(C61&gt;=3,"Kısmen dolu (3-5)","Az rakip (1-2)"))</f>
        <v>Az rakip (1-2)</v>
      </c>
      <c r="H61" s="2" t="s">
        <v>1698</v>
      </c>
      <c r="I61" s="2" t="s">
        <v>1699</v>
      </c>
    </row>
    <row r="62" customFormat="false" ht="15" hidden="false" customHeight="false" outlineLevel="0" collapsed="false">
      <c r="A62" s="5" t="s">
        <v>378</v>
      </c>
      <c r="B62" s="2" t="s">
        <v>379</v>
      </c>
      <c r="C62" s="5" t="n">
        <f aca="false">COUNTIF(Kanallar!$D$2:$D$562,A62)</f>
        <v>2</v>
      </c>
      <c r="D62" s="7" t="n">
        <f aca="false">SUMIF(Kanallar!$D$2:$D$562,A62,Kanallar!$J$2:$J$562)</f>
        <v>14921</v>
      </c>
      <c r="E62" s="7" t="n">
        <f aca="false">IF(C62=0,0,D62/C62)</f>
        <v>7460.5</v>
      </c>
      <c r="F62" s="7" t="n">
        <f aca="false">_xlfn.MAXIFS(Kanallar!$J$2:$J$562,Kanallar!$D$2:$D$562,A62)</f>
        <v>10106</v>
      </c>
      <c r="G62" s="5" t="str">
        <f aca="false">IF(C62&gt;=6,"Dolu (6+)",IF(C62&gt;=3,"Kısmen dolu (3-5)","Az rakip (1-2)"))</f>
        <v>Az rakip (1-2)</v>
      </c>
      <c r="H62" s="2" t="s">
        <v>1630</v>
      </c>
      <c r="I62" s="2" t="s">
        <v>1700</v>
      </c>
    </row>
    <row r="63" customFormat="false" ht="15" hidden="false" customHeight="false" outlineLevel="0" collapsed="false">
      <c r="A63" s="5" t="s">
        <v>240</v>
      </c>
      <c r="B63" s="2" t="s">
        <v>241</v>
      </c>
      <c r="C63" s="5" t="n">
        <f aca="false">COUNTIF(Kanallar!$D$2:$D$562,A63)</f>
        <v>1</v>
      </c>
      <c r="D63" s="7" t="n">
        <f aca="false">SUMIF(Kanallar!$D$2:$D$562,A63,Kanallar!$J$2:$J$562)</f>
        <v>14885</v>
      </c>
      <c r="E63" s="7" t="n">
        <f aca="false">IF(C63=0,0,D63/C63)</f>
        <v>14885</v>
      </c>
      <c r="F63" s="7" t="n">
        <f aca="false">_xlfn.MAXIFS(Kanallar!$J$2:$J$562,Kanallar!$D$2:$D$562,A63)</f>
        <v>14885</v>
      </c>
      <c r="G63" s="5" t="str">
        <f aca="false">IF(C63&gt;=6,"Dolu (6+)",IF(C63&gt;=3,"Kısmen dolu (3-5)","Az rakip (1-2)"))</f>
        <v>Az rakip (1-2)</v>
      </c>
      <c r="H63" s="2" t="s">
        <v>1630</v>
      </c>
      <c r="I63" s="2" t="s">
        <v>1701</v>
      </c>
    </row>
    <row r="64" customFormat="false" ht="15" hidden="false" customHeight="false" outlineLevel="0" collapsed="false">
      <c r="A64" s="5" t="s">
        <v>665</v>
      </c>
      <c r="B64" s="2" t="s">
        <v>666</v>
      </c>
      <c r="C64" s="5" t="n">
        <f aca="false">COUNTIF(Kanallar!$D$2:$D$562,A64)</f>
        <v>4</v>
      </c>
      <c r="D64" s="7" t="n">
        <f aca="false">SUMIF(Kanallar!$D$2:$D$562,A64,Kanallar!$J$2:$J$562)</f>
        <v>14493</v>
      </c>
      <c r="E64" s="7" t="n">
        <f aca="false">IF(C64=0,0,D64/C64)</f>
        <v>3623.25</v>
      </c>
      <c r="F64" s="7" t="n">
        <f aca="false">_xlfn.MAXIFS(Kanallar!$J$2:$J$562,Kanallar!$D$2:$D$562,A64)</f>
        <v>5611</v>
      </c>
      <c r="G64" s="5" t="str">
        <f aca="false">IF(C64&gt;=6,"Dolu (6+)",IF(C64&gt;=3,"Kısmen dolu (3-5)","Az rakip (1-2)"))</f>
        <v>Kısmen dolu (3-5)</v>
      </c>
      <c r="H64" s="2" t="s">
        <v>1630</v>
      </c>
      <c r="I64" s="2" t="s">
        <v>1702</v>
      </c>
    </row>
    <row r="65" customFormat="false" ht="15" hidden="false" customHeight="false" outlineLevel="0" collapsed="false">
      <c r="A65" s="5" t="s">
        <v>739</v>
      </c>
      <c r="B65" s="2" t="s">
        <v>740</v>
      </c>
      <c r="C65" s="5" t="n">
        <f aca="false">COUNTIF(Kanallar!$D$2:$D$562,A65)</f>
        <v>5</v>
      </c>
      <c r="D65" s="7" t="n">
        <f aca="false">SUMIF(Kanallar!$D$2:$D$562,A65,Kanallar!$J$2:$J$562)</f>
        <v>14151</v>
      </c>
      <c r="E65" s="7" t="n">
        <f aca="false">IF(C65=0,0,D65/C65)</f>
        <v>2830.2</v>
      </c>
      <c r="F65" s="7" t="n">
        <f aca="false">_xlfn.MAXIFS(Kanallar!$J$2:$J$562,Kanallar!$D$2:$D$562,A65)</f>
        <v>4993</v>
      </c>
      <c r="G65" s="5" t="str">
        <f aca="false">IF(C65&gt;=6,"Dolu (6+)",IF(C65&gt;=3,"Kısmen dolu (3-5)","Az rakip (1-2)"))</f>
        <v>Kısmen dolu (3-5)</v>
      </c>
      <c r="H65" s="2" t="s">
        <v>1630</v>
      </c>
      <c r="I65" s="2" t="s">
        <v>1703</v>
      </c>
    </row>
    <row r="66" customFormat="false" ht="15" hidden="false" customHeight="false" outlineLevel="0" collapsed="false">
      <c r="A66" s="5" t="s">
        <v>263</v>
      </c>
      <c r="B66" s="2" t="s">
        <v>264</v>
      </c>
      <c r="C66" s="5" t="n">
        <f aca="false">COUNTIF(Kanallar!$D$2:$D$562,A66)</f>
        <v>1</v>
      </c>
      <c r="D66" s="7" t="n">
        <f aca="false">SUMIF(Kanallar!$D$2:$D$562,A66,Kanallar!$J$2:$J$562)</f>
        <v>13689</v>
      </c>
      <c r="E66" s="7" t="n">
        <f aca="false">IF(C66=0,0,D66/C66)</f>
        <v>13689</v>
      </c>
      <c r="F66" s="7" t="n">
        <f aca="false">_xlfn.MAXIFS(Kanallar!$J$2:$J$562,Kanallar!$D$2:$D$562,A66)</f>
        <v>13689</v>
      </c>
      <c r="G66" s="5" t="str">
        <f aca="false">IF(C66&gt;=6,"Dolu (6+)",IF(C66&gt;=3,"Kısmen dolu (3-5)","Az rakip (1-2)"))</f>
        <v>Az rakip (1-2)</v>
      </c>
      <c r="H66" s="2" t="s">
        <v>1704</v>
      </c>
      <c r="I66" s="2" t="s">
        <v>1705</v>
      </c>
    </row>
    <row r="67" customFormat="false" ht="15" hidden="false" customHeight="false" outlineLevel="0" collapsed="false">
      <c r="A67" s="5" t="s">
        <v>675</v>
      </c>
      <c r="B67" s="2" t="s">
        <v>676</v>
      </c>
      <c r="C67" s="5" t="n">
        <f aca="false">COUNTIF(Kanallar!$D$2:$D$562,A67)</f>
        <v>4</v>
      </c>
      <c r="D67" s="7" t="n">
        <f aca="false">SUMIF(Kanallar!$D$2:$D$562,A67,Kanallar!$J$2:$J$562)</f>
        <v>13595</v>
      </c>
      <c r="E67" s="7" t="n">
        <f aca="false">IF(C67=0,0,D67/C67)</f>
        <v>3398.75</v>
      </c>
      <c r="F67" s="7" t="n">
        <f aca="false">_xlfn.MAXIFS(Kanallar!$J$2:$J$562,Kanallar!$D$2:$D$562,A67)</f>
        <v>5527</v>
      </c>
      <c r="G67" s="5" t="str">
        <f aca="false">IF(C67&gt;=6,"Dolu (6+)",IF(C67&gt;=3,"Kısmen dolu (3-5)","Az rakip (1-2)"))</f>
        <v>Kısmen dolu (3-5)</v>
      </c>
      <c r="H67" s="2" t="s">
        <v>1630</v>
      </c>
      <c r="I67" s="2" t="s">
        <v>1706</v>
      </c>
    </row>
    <row r="68" customFormat="false" ht="15" hidden="false" customHeight="false" outlineLevel="0" collapsed="false">
      <c r="A68" s="5" t="s">
        <v>287</v>
      </c>
      <c r="B68" s="2" t="s">
        <v>288</v>
      </c>
      <c r="C68" s="5" t="n">
        <f aca="false">COUNTIF(Kanallar!$D$2:$D$562,A68)</f>
        <v>1</v>
      </c>
      <c r="D68" s="7" t="n">
        <f aca="false">SUMIF(Kanallar!$D$2:$D$562,A68,Kanallar!$J$2:$J$562)</f>
        <v>13119</v>
      </c>
      <c r="E68" s="7" t="n">
        <f aca="false">IF(C68=0,0,D68/C68)</f>
        <v>13119</v>
      </c>
      <c r="F68" s="7" t="n">
        <f aca="false">_xlfn.MAXIFS(Kanallar!$J$2:$J$562,Kanallar!$D$2:$D$562,A68)</f>
        <v>13119</v>
      </c>
      <c r="G68" s="5" t="str">
        <f aca="false">IF(C68&gt;=6,"Dolu (6+)",IF(C68&gt;=3,"Kısmen dolu (3-5)","Az rakip (1-2)"))</f>
        <v>Az rakip (1-2)</v>
      </c>
      <c r="H68" s="2" t="s">
        <v>1630</v>
      </c>
      <c r="I68" s="2" t="s">
        <v>1707</v>
      </c>
    </row>
    <row r="69" customFormat="false" ht="15" hidden="false" customHeight="false" outlineLevel="0" collapsed="false">
      <c r="A69" s="5" t="s">
        <v>642</v>
      </c>
      <c r="B69" s="2" t="s">
        <v>643</v>
      </c>
      <c r="C69" s="5" t="n">
        <f aca="false">COUNTIF(Kanallar!$D$2:$D$562,A69)</f>
        <v>3</v>
      </c>
      <c r="D69" s="7" t="n">
        <f aca="false">SUMIF(Kanallar!$D$2:$D$562,A69,Kanallar!$J$2:$J$562)</f>
        <v>13089</v>
      </c>
      <c r="E69" s="7" t="n">
        <f aca="false">IF(C69=0,0,D69/C69)</f>
        <v>4363</v>
      </c>
      <c r="F69" s="7" t="n">
        <f aca="false">_xlfn.MAXIFS(Kanallar!$J$2:$J$562,Kanallar!$D$2:$D$562,A69)</f>
        <v>5816</v>
      </c>
      <c r="G69" s="5" t="str">
        <f aca="false">IF(C69&gt;=6,"Dolu (6+)",IF(C69&gt;=3,"Kısmen dolu (3-5)","Az rakip (1-2)"))</f>
        <v>Kısmen dolu (3-5)</v>
      </c>
      <c r="H69" s="2" t="s">
        <v>1630</v>
      </c>
      <c r="I69" s="2" t="s">
        <v>1708</v>
      </c>
    </row>
    <row r="70" customFormat="false" ht="15" hidden="false" customHeight="false" outlineLevel="0" collapsed="false">
      <c r="A70" s="5" t="s">
        <v>337</v>
      </c>
      <c r="B70" s="2" t="s">
        <v>338</v>
      </c>
      <c r="C70" s="5" t="n">
        <f aca="false">COUNTIF(Kanallar!$D$2:$D$562,A70)</f>
        <v>2</v>
      </c>
      <c r="D70" s="7" t="n">
        <f aca="false">SUMIF(Kanallar!$D$2:$D$562,A70,Kanallar!$J$2:$J$562)</f>
        <v>12975</v>
      </c>
      <c r="E70" s="7" t="n">
        <f aca="false">IF(C70=0,0,D70/C70)</f>
        <v>6487.5</v>
      </c>
      <c r="F70" s="7" t="n">
        <f aca="false">_xlfn.MAXIFS(Kanallar!$J$2:$J$562,Kanallar!$D$2:$D$562,A70)</f>
        <v>11410</v>
      </c>
      <c r="G70" s="5" t="str">
        <f aca="false">IF(C70&gt;=6,"Dolu (6+)",IF(C70&gt;=3,"Kısmen dolu (3-5)","Az rakip (1-2)"))</f>
        <v>Az rakip (1-2)</v>
      </c>
      <c r="H70" s="2" t="s">
        <v>1630</v>
      </c>
      <c r="I70" s="2" t="s">
        <v>1709</v>
      </c>
    </row>
    <row r="71" customFormat="false" ht="15" hidden="false" customHeight="false" outlineLevel="0" collapsed="false">
      <c r="A71" s="5" t="s">
        <v>751</v>
      </c>
      <c r="B71" s="2" t="s">
        <v>752</v>
      </c>
      <c r="C71" s="5" t="n">
        <f aca="false">COUNTIF(Kanallar!$D$2:$D$562,A71)</f>
        <v>3</v>
      </c>
      <c r="D71" s="7" t="n">
        <f aca="false">SUMIF(Kanallar!$D$2:$D$562,A71,Kanallar!$J$2:$J$562)</f>
        <v>12342</v>
      </c>
      <c r="E71" s="7" t="n">
        <f aca="false">IF(C71=0,0,D71/C71)</f>
        <v>4114</v>
      </c>
      <c r="F71" s="7" t="n">
        <f aca="false">_xlfn.MAXIFS(Kanallar!$J$2:$J$562,Kanallar!$D$2:$D$562,A71)</f>
        <v>4920</v>
      </c>
      <c r="G71" s="5" t="str">
        <f aca="false">IF(C71&gt;=6,"Dolu (6+)",IF(C71&gt;=3,"Kısmen dolu (3-5)","Az rakip (1-2)"))</f>
        <v>Kısmen dolu (3-5)</v>
      </c>
      <c r="H71" s="2" t="s">
        <v>1630</v>
      </c>
      <c r="I71" s="2" t="s">
        <v>1710</v>
      </c>
    </row>
    <row r="72" customFormat="false" ht="15" hidden="false" customHeight="false" outlineLevel="0" collapsed="false">
      <c r="A72" s="5" t="s">
        <v>803</v>
      </c>
      <c r="B72" s="2" t="s">
        <v>804</v>
      </c>
      <c r="C72" s="5" t="n">
        <f aca="false">COUNTIF(Kanallar!$D$2:$D$562,A72)</f>
        <v>5</v>
      </c>
      <c r="D72" s="7" t="n">
        <f aca="false">SUMIF(Kanallar!$D$2:$D$562,A72,Kanallar!$J$2:$J$562)</f>
        <v>12342</v>
      </c>
      <c r="E72" s="7" t="n">
        <f aca="false">IF(C72=0,0,D72/C72)</f>
        <v>2468.4</v>
      </c>
      <c r="F72" s="7" t="n">
        <f aca="false">_xlfn.MAXIFS(Kanallar!$J$2:$J$562,Kanallar!$D$2:$D$562,A72)</f>
        <v>4404</v>
      </c>
      <c r="G72" s="5" t="str">
        <f aca="false">IF(C72&gt;=6,"Dolu (6+)",IF(C72&gt;=3,"Kısmen dolu (3-5)","Az rakip (1-2)"))</f>
        <v>Kısmen dolu (3-5)</v>
      </c>
      <c r="H72" s="2" t="s">
        <v>1630</v>
      </c>
      <c r="I72" s="2" t="s">
        <v>1711</v>
      </c>
    </row>
    <row r="73" customFormat="false" ht="15" hidden="false" customHeight="false" outlineLevel="0" collapsed="false">
      <c r="A73" s="5" t="s">
        <v>608</v>
      </c>
      <c r="B73" s="2" t="s">
        <v>609</v>
      </c>
      <c r="C73" s="5" t="n">
        <f aca="false">COUNTIF(Kanallar!$D$2:$D$562,A73)</f>
        <v>2</v>
      </c>
      <c r="D73" s="7" t="n">
        <f aca="false">SUMIF(Kanallar!$D$2:$D$562,A73,Kanallar!$J$2:$J$562)</f>
        <v>12116</v>
      </c>
      <c r="E73" s="7" t="n">
        <f aca="false">IF(C73=0,0,D73/C73)</f>
        <v>6058</v>
      </c>
      <c r="F73" s="7" t="n">
        <f aca="false">_xlfn.MAXIFS(Kanallar!$J$2:$J$562,Kanallar!$D$2:$D$562,A73)</f>
        <v>6324</v>
      </c>
      <c r="G73" s="5" t="str">
        <f aca="false">IF(C73&gt;=6,"Dolu (6+)",IF(C73&gt;=3,"Kısmen dolu (3-5)","Az rakip (1-2)"))</f>
        <v>Az rakip (1-2)</v>
      </c>
      <c r="H73" s="2" t="s">
        <v>1630</v>
      </c>
      <c r="I73" s="2" t="s">
        <v>1712</v>
      </c>
    </row>
    <row r="74" customFormat="false" ht="15" hidden="false" customHeight="false" outlineLevel="0" collapsed="false">
      <c r="A74" s="5" t="s">
        <v>550</v>
      </c>
      <c r="B74" s="2" t="s">
        <v>551</v>
      </c>
      <c r="C74" s="5" t="n">
        <f aca="false">COUNTIF(Kanallar!$D$2:$D$562,A74)</f>
        <v>3</v>
      </c>
      <c r="D74" s="7" t="n">
        <f aca="false">SUMIF(Kanallar!$D$2:$D$562,A74,Kanallar!$J$2:$J$562)</f>
        <v>11857</v>
      </c>
      <c r="E74" s="7" t="n">
        <f aca="false">IF(C74=0,0,D74/C74)</f>
        <v>3952.33333333333</v>
      </c>
      <c r="F74" s="7" t="n">
        <f aca="false">_xlfn.MAXIFS(Kanallar!$J$2:$J$562,Kanallar!$D$2:$D$562,A74)</f>
        <v>6882</v>
      </c>
      <c r="G74" s="5" t="str">
        <f aca="false">IF(C74&gt;=6,"Dolu (6+)",IF(C74&gt;=3,"Kısmen dolu (3-5)","Az rakip (1-2)"))</f>
        <v>Kısmen dolu (3-5)</v>
      </c>
      <c r="H74" s="2" t="s">
        <v>1630</v>
      </c>
      <c r="I74" s="2" t="s">
        <v>1713</v>
      </c>
    </row>
    <row r="75" customFormat="false" ht="15" hidden="false" customHeight="false" outlineLevel="0" collapsed="false">
      <c r="A75" s="5" t="s">
        <v>579</v>
      </c>
      <c r="B75" s="2" t="s">
        <v>580</v>
      </c>
      <c r="C75" s="5" t="n">
        <f aca="false">COUNTIF(Kanallar!$D$2:$D$562,A75)</f>
        <v>2</v>
      </c>
      <c r="D75" s="7" t="n">
        <f aca="false">SUMIF(Kanallar!$D$2:$D$562,A75,Kanallar!$J$2:$J$562)</f>
        <v>11682</v>
      </c>
      <c r="E75" s="7" t="n">
        <f aca="false">IF(C75=0,0,D75/C75)</f>
        <v>5841</v>
      </c>
      <c r="F75" s="7" t="n">
        <f aca="false">_xlfn.MAXIFS(Kanallar!$J$2:$J$562,Kanallar!$D$2:$D$562,A75)</f>
        <v>6698</v>
      </c>
      <c r="G75" s="5" t="str">
        <f aca="false">IF(C75&gt;=6,"Dolu (6+)",IF(C75&gt;=3,"Kısmen dolu (3-5)","Az rakip (1-2)"))</f>
        <v>Az rakip (1-2)</v>
      </c>
      <c r="H75" s="2" t="s">
        <v>1630</v>
      </c>
      <c r="I75" s="2" t="s">
        <v>1714</v>
      </c>
    </row>
    <row r="76" customFormat="false" ht="15" hidden="false" customHeight="false" outlineLevel="0" collapsed="false">
      <c r="A76" s="5" t="s">
        <v>433</v>
      </c>
      <c r="B76" s="2" t="s">
        <v>434</v>
      </c>
      <c r="C76" s="5" t="n">
        <f aca="false">COUNTIF(Kanallar!$D$2:$D$562,A76)</f>
        <v>2</v>
      </c>
      <c r="D76" s="7" t="n">
        <f aca="false">SUMIF(Kanallar!$D$2:$D$562,A76,Kanallar!$J$2:$J$562)</f>
        <v>11584</v>
      </c>
      <c r="E76" s="7" t="n">
        <f aca="false">IF(C76=0,0,D76/C76)</f>
        <v>5792</v>
      </c>
      <c r="F76" s="7" t="n">
        <f aca="false">_xlfn.MAXIFS(Kanallar!$J$2:$J$562,Kanallar!$D$2:$D$562,A76)</f>
        <v>8821</v>
      </c>
      <c r="G76" s="5" t="str">
        <f aca="false">IF(C76&gt;=6,"Dolu (6+)",IF(C76&gt;=3,"Kısmen dolu (3-5)","Az rakip (1-2)"))</f>
        <v>Az rakip (1-2)</v>
      </c>
      <c r="H76" s="2" t="s">
        <v>1630</v>
      </c>
      <c r="I76" s="2" t="s">
        <v>1715</v>
      </c>
    </row>
    <row r="77" customFormat="false" ht="15" hidden="false" customHeight="false" outlineLevel="0" collapsed="false">
      <c r="A77" s="5" t="s">
        <v>510</v>
      </c>
      <c r="B77" s="2" t="s">
        <v>511</v>
      </c>
      <c r="C77" s="5" t="n">
        <f aca="false">COUNTIF(Kanallar!$D$2:$D$562,A77)</f>
        <v>3</v>
      </c>
      <c r="D77" s="7" t="n">
        <f aca="false">SUMIF(Kanallar!$D$2:$D$562,A77,Kanallar!$J$2:$J$562)</f>
        <v>10919</v>
      </c>
      <c r="E77" s="7" t="n">
        <f aca="false">IF(C77=0,0,D77/C77)</f>
        <v>3639.66666666667</v>
      </c>
      <c r="F77" s="7" t="n">
        <f aca="false">_xlfn.MAXIFS(Kanallar!$J$2:$J$562,Kanallar!$D$2:$D$562,A77)</f>
        <v>7645</v>
      </c>
      <c r="G77" s="5" t="str">
        <f aca="false">IF(C77&gt;=6,"Dolu (6+)",IF(C77&gt;=3,"Kısmen dolu (3-5)","Az rakip (1-2)"))</f>
        <v>Kısmen dolu (3-5)</v>
      </c>
      <c r="H77" s="2" t="s">
        <v>1630</v>
      </c>
      <c r="I77" s="2" t="s">
        <v>1716</v>
      </c>
    </row>
    <row r="78" customFormat="false" ht="15" hidden="false" customHeight="false" outlineLevel="0" collapsed="false">
      <c r="A78" s="5" t="s">
        <v>1045</v>
      </c>
      <c r="B78" s="2" t="s">
        <v>1046</v>
      </c>
      <c r="C78" s="5" t="n">
        <f aca="false">COUNTIF(Kanallar!$D$2:$D$562,A78)</f>
        <v>4</v>
      </c>
      <c r="D78" s="7" t="n">
        <f aca="false">SUMIF(Kanallar!$D$2:$D$562,A78,Kanallar!$J$2:$J$562)</f>
        <v>10669</v>
      </c>
      <c r="E78" s="7" t="n">
        <f aca="false">IF(C78=0,0,D78/C78)</f>
        <v>2667.25</v>
      </c>
      <c r="F78" s="7" t="n">
        <f aca="false">_xlfn.MAXIFS(Kanallar!$J$2:$J$562,Kanallar!$D$2:$D$562,A78)</f>
        <v>3117</v>
      </c>
      <c r="G78" s="5" t="str">
        <f aca="false">IF(C78&gt;=6,"Dolu (6+)",IF(C78&gt;=3,"Kısmen dolu (3-5)","Az rakip (1-2)"))</f>
        <v>Kısmen dolu (3-5)</v>
      </c>
      <c r="H78" s="2" t="s">
        <v>1630</v>
      </c>
      <c r="I78" s="2" t="s">
        <v>1717</v>
      </c>
    </row>
    <row r="79" customFormat="false" ht="15" hidden="false" customHeight="false" outlineLevel="0" collapsed="false">
      <c r="A79" s="5" t="s">
        <v>651</v>
      </c>
      <c r="B79" s="2" t="s">
        <v>652</v>
      </c>
      <c r="C79" s="5" t="n">
        <f aca="false">COUNTIF(Kanallar!$D$2:$D$562,A79)</f>
        <v>3</v>
      </c>
      <c r="D79" s="7" t="n">
        <f aca="false">SUMIF(Kanallar!$D$2:$D$562,A79,Kanallar!$J$2:$J$562)</f>
        <v>9994</v>
      </c>
      <c r="E79" s="7" t="n">
        <f aca="false">IF(C79=0,0,D79/C79)</f>
        <v>3331.33333333333</v>
      </c>
      <c r="F79" s="7" t="n">
        <f aca="false">_xlfn.MAXIFS(Kanallar!$J$2:$J$562,Kanallar!$D$2:$D$562,A79)</f>
        <v>5753</v>
      </c>
      <c r="G79" s="5" t="str">
        <f aca="false">IF(C79&gt;=6,"Dolu (6+)",IF(C79&gt;=3,"Kısmen dolu (3-5)","Az rakip (1-2)"))</f>
        <v>Kısmen dolu (3-5)</v>
      </c>
      <c r="H79" s="2" t="s">
        <v>1630</v>
      </c>
      <c r="I79" s="2" t="s">
        <v>1718</v>
      </c>
    </row>
    <row r="80" customFormat="false" ht="15" hidden="false" customHeight="false" outlineLevel="0" collapsed="false">
      <c r="A80" s="5" t="s">
        <v>903</v>
      </c>
      <c r="B80" s="2" t="s">
        <v>904</v>
      </c>
      <c r="C80" s="5" t="n">
        <f aca="false">COUNTIF(Kanallar!$D$2:$D$562,A80)</f>
        <v>3</v>
      </c>
      <c r="D80" s="7" t="n">
        <f aca="false">SUMIF(Kanallar!$D$2:$D$562,A80,Kanallar!$J$2:$J$562)</f>
        <v>9220</v>
      </c>
      <c r="E80" s="7" t="n">
        <f aca="false">IF(C80=0,0,D80/C80)</f>
        <v>3073.33333333333</v>
      </c>
      <c r="F80" s="7" t="n">
        <f aca="false">_xlfn.MAXIFS(Kanallar!$J$2:$J$562,Kanallar!$D$2:$D$562,A80)</f>
        <v>3802</v>
      </c>
      <c r="G80" s="5" t="str">
        <f aca="false">IF(C80&gt;=6,"Dolu (6+)",IF(C80&gt;=3,"Kısmen dolu (3-5)","Az rakip (1-2)"))</f>
        <v>Kısmen dolu (3-5)</v>
      </c>
      <c r="H80" s="2" t="s">
        <v>1719</v>
      </c>
      <c r="I80" s="2" t="s">
        <v>1720</v>
      </c>
    </row>
    <row r="81" customFormat="false" ht="15" hidden="false" customHeight="false" outlineLevel="0" collapsed="false">
      <c r="A81" s="5" t="s">
        <v>693</v>
      </c>
      <c r="B81" s="2" t="s">
        <v>694</v>
      </c>
      <c r="C81" s="5" t="n">
        <f aca="false">COUNTIF(Kanallar!$D$2:$D$562,A81)</f>
        <v>2</v>
      </c>
      <c r="D81" s="7" t="n">
        <f aca="false">SUMIF(Kanallar!$D$2:$D$562,A81,Kanallar!$J$2:$J$562)</f>
        <v>8832</v>
      </c>
      <c r="E81" s="7" t="n">
        <f aca="false">IF(C81=0,0,D81/C81)</f>
        <v>4416</v>
      </c>
      <c r="F81" s="7" t="n">
        <f aca="false">_xlfn.MAXIFS(Kanallar!$J$2:$J$562,Kanallar!$D$2:$D$562,A81)</f>
        <v>5431</v>
      </c>
      <c r="G81" s="5" t="str">
        <f aca="false">IF(C81&gt;=6,"Dolu (6+)",IF(C81&gt;=3,"Kısmen dolu (3-5)","Az rakip (1-2)"))</f>
        <v>Az rakip (1-2)</v>
      </c>
      <c r="H81" s="2" t="s">
        <v>1630</v>
      </c>
      <c r="I81" s="2" t="s">
        <v>1721</v>
      </c>
    </row>
    <row r="82" customFormat="false" ht="15" hidden="false" customHeight="false" outlineLevel="0" collapsed="false">
      <c r="A82" s="5" t="s">
        <v>685</v>
      </c>
      <c r="B82" s="2" t="s">
        <v>686</v>
      </c>
      <c r="C82" s="5" t="n">
        <f aca="false">COUNTIF(Kanallar!$D$2:$D$562,A82)</f>
        <v>2</v>
      </c>
      <c r="D82" s="7" t="n">
        <f aca="false">SUMIF(Kanallar!$D$2:$D$562,A82,Kanallar!$J$2:$J$562)</f>
        <v>8823</v>
      </c>
      <c r="E82" s="7" t="n">
        <f aca="false">IF(C82=0,0,D82/C82)</f>
        <v>4411.5</v>
      </c>
      <c r="F82" s="7" t="n">
        <f aca="false">_xlfn.MAXIFS(Kanallar!$J$2:$J$562,Kanallar!$D$2:$D$562,A82)</f>
        <v>5486</v>
      </c>
      <c r="G82" s="5" t="str">
        <f aca="false">IF(C82&gt;=6,"Dolu (6+)",IF(C82&gt;=3,"Kısmen dolu (3-5)","Az rakip (1-2)"))</f>
        <v>Az rakip (1-2)</v>
      </c>
      <c r="H82" s="2" t="s">
        <v>1722</v>
      </c>
      <c r="I82" s="2" t="s">
        <v>1723</v>
      </c>
    </row>
    <row r="83" customFormat="false" ht="15" hidden="false" customHeight="false" outlineLevel="0" collapsed="false">
      <c r="A83" s="5" t="s">
        <v>833</v>
      </c>
      <c r="B83" s="2" t="s">
        <v>834</v>
      </c>
      <c r="C83" s="5" t="n">
        <f aca="false">COUNTIF(Kanallar!$D$2:$D$562,A83)</f>
        <v>2</v>
      </c>
      <c r="D83" s="7" t="n">
        <f aca="false">SUMIF(Kanallar!$D$2:$D$562,A83,Kanallar!$J$2:$J$562)</f>
        <v>8173</v>
      </c>
      <c r="E83" s="7" t="n">
        <f aca="false">IF(C83=0,0,D83/C83)</f>
        <v>4086.5</v>
      </c>
      <c r="F83" s="7" t="n">
        <f aca="false">_xlfn.MAXIFS(Kanallar!$J$2:$J$562,Kanallar!$D$2:$D$562,A83)</f>
        <v>4180</v>
      </c>
      <c r="G83" s="5" t="str">
        <f aca="false">IF(C83&gt;=6,"Dolu (6+)",IF(C83&gt;=3,"Kısmen dolu (3-5)","Az rakip (1-2)"))</f>
        <v>Az rakip (1-2)</v>
      </c>
      <c r="H83" s="2" t="s">
        <v>1630</v>
      </c>
      <c r="I83" s="2" t="s">
        <v>1724</v>
      </c>
    </row>
    <row r="84" customFormat="false" ht="15" hidden="false" customHeight="false" outlineLevel="0" collapsed="false">
      <c r="A84" s="5" t="s">
        <v>874</v>
      </c>
      <c r="B84" s="2" t="s">
        <v>875</v>
      </c>
      <c r="C84" s="5" t="n">
        <f aca="false">COUNTIF(Kanallar!$D$2:$D$562,A84)</f>
        <v>3</v>
      </c>
      <c r="D84" s="7" t="n">
        <f aca="false">SUMIF(Kanallar!$D$2:$D$562,A84,Kanallar!$J$2:$J$562)</f>
        <v>8075</v>
      </c>
      <c r="E84" s="7" t="n">
        <f aca="false">IF(C84=0,0,D84/C84)</f>
        <v>2691.66666666667</v>
      </c>
      <c r="F84" s="7" t="n">
        <f aca="false">_xlfn.MAXIFS(Kanallar!$J$2:$J$562,Kanallar!$D$2:$D$562,A84)</f>
        <v>3939</v>
      </c>
      <c r="G84" s="5" t="str">
        <f aca="false">IF(C84&gt;=6,"Dolu (6+)",IF(C84&gt;=3,"Kısmen dolu (3-5)","Az rakip (1-2)"))</f>
        <v>Kısmen dolu (3-5)</v>
      </c>
      <c r="H84" s="2" t="s">
        <v>1630</v>
      </c>
      <c r="I84" s="2" t="s">
        <v>1725</v>
      </c>
    </row>
    <row r="85" customFormat="false" ht="15" hidden="false" customHeight="false" outlineLevel="0" collapsed="false">
      <c r="A85" s="5" t="s">
        <v>487</v>
      </c>
      <c r="B85" s="2" t="s">
        <v>488</v>
      </c>
      <c r="C85" s="5" t="n">
        <f aca="false">COUNTIF(Kanallar!$D$2:$D$562,A85)</f>
        <v>1</v>
      </c>
      <c r="D85" s="7" t="n">
        <f aca="false">SUMIF(Kanallar!$D$2:$D$562,A85,Kanallar!$J$2:$J$562)</f>
        <v>7894</v>
      </c>
      <c r="E85" s="7" t="n">
        <f aca="false">IF(C85=0,0,D85/C85)</f>
        <v>7894</v>
      </c>
      <c r="F85" s="7" t="n">
        <f aca="false">_xlfn.MAXIFS(Kanallar!$J$2:$J$562,Kanallar!$D$2:$D$562,A85)</f>
        <v>7894</v>
      </c>
      <c r="G85" s="5" t="str">
        <f aca="false">IF(C85&gt;=6,"Dolu (6+)",IF(C85&gt;=3,"Kısmen dolu (3-5)","Az rakip (1-2)"))</f>
        <v>Az rakip (1-2)</v>
      </c>
      <c r="H85" s="2" t="s">
        <v>1726</v>
      </c>
      <c r="I85" s="2" t="s">
        <v>1727</v>
      </c>
    </row>
    <row r="86" customFormat="false" ht="15" hidden="false" customHeight="false" outlineLevel="0" collapsed="false">
      <c r="A86" s="5" t="s">
        <v>1273</v>
      </c>
      <c r="B86" s="2" t="s">
        <v>1274</v>
      </c>
      <c r="C86" s="5" t="n">
        <f aca="false">COUNTIF(Kanallar!$D$2:$D$562,A86)</f>
        <v>4</v>
      </c>
      <c r="D86" s="7" t="n">
        <f aca="false">SUMIF(Kanallar!$D$2:$D$562,A86,Kanallar!$J$2:$J$562)</f>
        <v>7719</v>
      </c>
      <c r="E86" s="7" t="n">
        <f aca="false">IF(C86=0,0,D86/C86)</f>
        <v>1929.75</v>
      </c>
      <c r="F86" s="7" t="n">
        <f aca="false">_xlfn.MAXIFS(Kanallar!$J$2:$J$562,Kanallar!$D$2:$D$562,A86)</f>
        <v>2196</v>
      </c>
      <c r="G86" s="5" t="str">
        <f aca="false">IF(C86&gt;=6,"Dolu (6+)",IF(C86&gt;=3,"Kısmen dolu (3-5)","Az rakip (1-2)"))</f>
        <v>Kısmen dolu (3-5)</v>
      </c>
      <c r="H86" s="2" t="s">
        <v>1630</v>
      </c>
      <c r="I86" s="2" t="s">
        <v>1728</v>
      </c>
    </row>
    <row r="87" customFormat="false" ht="15" hidden="false" customHeight="false" outlineLevel="0" collapsed="false">
      <c r="A87" s="5" t="s">
        <v>529</v>
      </c>
      <c r="B87" s="2" t="s">
        <v>530</v>
      </c>
      <c r="C87" s="5" t="n">
        <f aca="false">COUNTIF(Kanallar!$D$2:$D$562,A87)</f>
        <v>1</v>
      </c>
      <c r="D87" s="7" t="n">
        <f aca="false">SUMIF(Kanallar!$D$2:$D$562,A87,Kanallar!$J$2:$J$562)</f>
        <v>7359</v>
      </c>
      <c r="E87" s="7" t="n">
        <f aca="false">IF(C87=0,0,D87/C87)</f>
        <v>7359</v>
      </c>
      <c r="F87" s="7" t="n">
        <f aca="false">_xlfn.MAXIFS(Kanallar!$J$2:$J$562,Kanallar!$D$2:$D$562,A87)</f>
        <v>7359</v>
      </c>
      <c r="G87" s="5" t="str">
        <f aca="false">IF(C87&gt;=6,"Dolu (6+)",IF(C87&gt;=3,"Kısmen dolu (3-5)","Az rakip (1-2)"))</f>
        <v>Az rakip (1-2)</v>
      </c>
      <c r="H87" s="2" t="s">
        <v>1630</v>
      </c>
      <c r="I87" s="2" t="s">
        <v>1729</v>
      </c>
    </row>
    <row r="88" customFormat="false" ht="15" hidden="false" customHeight="false" outlineLevel="0" collapsed="false">
      <c r="A88" s="5" t="s">
        <v>851</v>
      </c>
      <c r="B88" s="2" t="s">
        <v>852</v>
      </c>
      <c r="C88" s="5" t="n">
        <f aca="false">COUNTIF(Kanallar!$D$2:$D$562,A88)</f>
        <v>2</v>
      </c>
      <c r="D88" s="7" t="n">
        <f aca="false">SUMIF(Kanallar!$D$2:$D$562,A88,Kanallar!$J$2:$J$562)</f>
        <v>6602</v>
      </c>
      <c r="E88" s="7" t="n">
        <f aca="false">IF(C88=0,0,D88/C88)</f>
        <v>3301</v>
      </c>
      <c r="F88" s="7" t="n">
        <f aca="false">_xlfn.MAXIFS(Kanallar!$J$2:$J$562,Kanallar!$D$2:$D$562,A88)</f>
        <v>4093</v>
      </c>
      <c r="G88" s="5" t="str">
        <f aca="false">IF(C88&gt;=6,"Dolu (6+)",IF(C88&gt;=3,"Kısmen dolu (3-5)","Az rakip (1-2)"))</f>
        <v>Az rakip (1-2)</v>
      </c>
      <c r="H88" s="2" t="s">
        <v>1730</v>
      </c>
      <c r="I88" s="2" t="s">
        <v>1731</v>
      </c>
    </row>
    <row r="89" customFormat="false" ht="15" hidden="false" customHeight="false" outlineLevel="0" collapsed="false">
      <c r="A89" s="5" t="s">
        <v>1283</v>
      </c>
      <c r="B89" s="2" t="s">
        <v>1284</v>
      </c>
      <c r="C89" s="5" t="n">
        <f aca="false">COUNTIF(Kanallar!$D$2:$D$562,A89)</f>
        <v>3</v>
      </c>
      <c r="D89" s="7" t="n">
        <f aca="false">SUMIF(Kanallar!$D$2:$D$562,A89,Kanallar!$J$2:$J$562)</f>
        <v>6149</v>
      </c>
      <c r="E89" s="7" t="n">
        <f aca="false">IF(C89=0,0,D89/C89)</f>
        <v>2049.66666666667</v>
      </c>
      <c r="F89" s="7" t="n">
        <f aca="false">_xlfn.MAXIFS(Kanallar!$J$2:$J$562,Kanallar!$D$2:$D$562,A89)</f>
        <v>2158</v>
      </c>
      <c r="G89" s="5" t="str">
        <f aca="false">IF(C89&gt;=6,"Dolu (6+)",IF(C89&gt;=3,"Kısmen dolu (3-5)","Az rakip (1-2)"))</f>
        <v>Kısmen dolu (3-5)</v>
      </c>
      <c r="H89" s="2" t="s">
        <v>1630</v>
      </c>
      <c r="I89" s="2" t="s">
        <v>1732</v>
      </c>
    </row>
    <row r="90" customFormat="false" ht="15" hidden="false" customHeight="false" outlineLevel="0" collapsed="false">
      <c r="A90" s="5" t="s">
        <v>1193</v>
      </c>
      <c r="B90" s="2" t="s">
        <v>1194</v>
      </c>
      <c r="C90" s="5" t="n">
        <f aca="false">COUNTIF(Kanallar!$D$2:$D$562,A90)</f>
        <v>2</v>
      </c>
      <c r="D90" s="7" t="n">
        <f aca="false">SUMIF(Kanallar!$D$2:$D$562,A90,Kanallar!$J$2:$J$562)</f>
        <v>4980</v>
      </c>
      <c r="E90" s="7" t="n">
        <f aca="false">IF(C90=0,0,D90/C90)</f>
        <v>2490</v>
      </c>
      <c r="F90" s="7" t="n">
        <f aca="false">_xlfn.MAXIFS(Kanallar!$J$2:$J$562,Kanallar!$D$2:$D$562,A90)</f>
        <v>2547</v>
      </c>
      <c r="G90" s="5" t="str">
        <f aca="false">IF(C90&gt;=6,"Dolu (6+)",IF(C90&gt;=3,"Kısmen dolu (3-5)","Az rakip (1-2)"))</f>
        <v>Az rakip (1-2)</v>
      </c>
      <c r="H90" s="2" t="s">
        <v>1630</v>
      </c>
      <c r="I90" s="2" t="s">
        <v>1733</v>
      </c>
    </row>
    <row r="91" customFormat="false" ht="15" hidden="false" customHeight="false" outlineLevel="0" collapsed="false">
      <c r="A91" s="5" t="s">
        <v>974</v>
      </c>
      <c r="B91" s="2" t="s">
        <v>975</v>
      </c>
      <c r="C91" s="5" t="n">
        <f aca="false">COUNTIF(Kanallar!$D$2:$D$562,A91)</f>
        <v>2</v>
      </c>
      <c r="D91" s="7" t="n">
        <f aca="false">SUMIF(Kanallar!$D$2:$D$562,A91,Kanallar!$J$2:$J$562)</f>
        <v>4621</v>
      </c>
      <c r="E91" s="7" t="n">
        <f aca="false">IF(C91=0,0,D91/C91)</f>
        <v>2310.5</v>
      </c>
      <c r="F91" s="7" t="n">
        <f aca="false">_xlfn.MAXIFS(Kanallar!$J$2:$J$562,Kanallar!$D$2:$D$562,A91)</f>
        <v>3492</v>
      </c>
      <c r="G91" s="5" t="str">
        <f aca="false">IF(C91&gt;=6,"Dolu (6+)",IF(C91&gt;=3,"Kısmen dolu (3-5)","Az rakip (1-2)"))</f>
        <v>Az rakip (1-2)</v>
      </c>
      <c r="H91" s="2" t="s">
        <v>1630</v>
      </c>
      <c r="I91" s="2" t="s">
        <v>1734</v>
      </c>
    </row>
    <row r="92" customFormat="false" ht="15" hidden="false" customHeight="false" outlineLevel="0" collapsed="false">
      <c r="A92" s="5" t="s">
        <v>1064</v>
      </c>
      <c r="B92" s="2" t="s">
        <v>1065</v>
      </c>
      <c r="C92" s="5" t="n">
        <f aca="false">COUNTIF(Kanallar!$D$2:$D$562,A92)</f>
        <v>2</v>
      </c>
      <c r="D92" s="7" t="n">
        <f aca="false">SUMIF(Kanallar!$D$2:$D$562,A92,Kanallar!$J$2:$J$562)</f>
        <v>4369</v>
      </c>
      <c r="E92" s="7" t="n">
        <f aca="false">IF(C92=0,0,D92/C92)</f>
        <v>2184.5</v>
      </c>
      <c r="F92" s="7" t="n">
        <f aca="false">_xlfn.MAXIFS(Kanallar!$J$2:$J$562,Kanallar!$D$2:$D$562,A92)</f>
        <v>2997</v>
      </c>
      <c r="G92" s="5" t="str">
        <f aca="false">IF(C92&gt;=6,"Dolu (6+)",IF(C92&gt;=3,"Kısmen dolu (3-5)","Az rakip (1-2)"))</f>
        <v>Az rakip (1-2)</v>
      </c>
      <c r="H92" s="2" t="s">
        <v>1630</v>
      </c>
      <c r="I92" s="2" t="s">
        <v>1735</v>
      </c>
    </row>
    <row r="93" customFormat="false" ht="15" hidden="false" customHeight="false" outlineLevel="0" collapsed="false">
      <c r="A93" s="5" t="s">
        <v>880</v>
      </c>
      <c r="B93" s="2" t="s">
        <v>881</v>
      </c>
      <c r="C93" s="5" t="n">
        <f aca="false">COUNTIF(Kanallar!$D$2:$D$562,A93)</f>
        <v>1</v>
      </c>
      <c r="D93" s="7" t="n">
        <f aca="false">SUMIF(Kanallar!$D$2:$D$562,A93,Kanallar!$J$2:$J$562)</f>
        <v>3912</v>
      </c>
      <c r="E93" s="7" t="n">
        <f aca="false">IF(C93=0,0,D93/C93)</f>
        <v>3912</v>
      </c>
      <c r="F93" s="7" t="n">
        <f aca="false">_xlfn.MAXIFS(Kanallar!$J$2:$J$562,Kanallar!$D$2:$D$562,A93)</f>
        <v>3912</v>
      </c>
      <c r="G93" s="5" t="str">
        <f aca="false">IF(C93&gt;=6,"Dolu (6+)",IF(C93&gt;=3,"Kısmen dolu (3-5)","Az rakip (1-2)"))</f>
        <v>Az rakip (1-2)</v>
      </c>
      <c r="H93" s="2" t="s">
        <v>1630</v>
      </c>
      <c r="I93" s="2" t="s">
        <v>1736</v>
      </c>
    </row>
    <row r="94" customFormat="false" ht="15" hidden="false" customHeight="false" outlineLevel="0" collapsed="false">
      <c r="A94" s="5" t="s">
        <v>911</v>
      </c>
      <c r="B94" s="2" t="s">
        <v>912</v>
      </c>
      <c r="C94" s="5" t="n">
        <f aca="false">COUNTIF(Kanallar!$D$2:$D$562,A94)</f>
        <v>1</v>
      </c>
      <c r="D94" s="7" t="n">
        <f aca="false">SUMIF(Kanallar!$D$2:$D$562,A94,Kanallar!$J$2:$J$562)</f>
        <v>3777</v>
      </c>
      <c r="E94" s="7" t="n">
        <f aca="false">IF(C94=0,0,D94/C94)</f>
        <v>3777</v>
      </c>
      <c r="F94" s="7" t="n">
        <f aca="false">_xlfn.MAXIFS(Kanallar!$J$2:$J$562,Kanallar!$D$2:$D$562,A94)</f>
        <v>3777</v>
      </c>
      <c r="G94" s="5" t="str">
        <f aca="false">IF(C94&gt;=6,"Dolu (6+)",IF(C94&gt;=3,"Kısmen dolu (3-5)","Az rakip (1-2)"))</f>
        <v>Az rakip (1-2)</v>
      </c>
      <c r="H94" s="2" t="s">
        <v>1630</v>
      </c>
      <c r="I94" s="2" t="s">
        <v>1737</v>
      </c>
    </row>
    <row r="95" customFormat="false" ht="15" hidden="false" customHeight="false" outlineLevel="0" collapsed="false">
      <c r="A95" s="5" t="s">
        <v>927</v>
      </c>
      <c r="B95" s="2" t="s">
        <v>928</v>
      </c>
      <c r="C95" s="5" t="n">
        <f aca="false">COUNTIF(Kanallar!$D$2:$D$562,A95)</f>
        <v>1</v>
      </c>
      <c r="D95" s="7" t="n">
        <f aca="false">SUMIF(Kanallar!$D$2:$D$562,A95,Kanallar!$J$2:$J$562)</f>
        <v>3748</v>
      </c>
      <c r="E95" s="7" t="n">
        <f aca="false">IF(C95=0,0,D95/C95)</f>
        <v>3748</v>
      </c>
      <c r="F95" s="7" t="n">
        <f aca="false">_xlfn.MAXIFS(Kanallar!$J$2:$J$562,Kanallar!$D$2:$D$562,A95)</f>
        <v>3748</v>
      </c>
      <c r="G95" s="5" t="str">
        <f aca="false">IF(C95&gt;=6,"Dolu (6+)",IF(C95&gt;=3,"Kısmen dolu (3-5)","Az rakip (1-2)"))</f>
        <v>Az rakip (1-2)</v>
      </c>
      <c r="H95" s="2" t="s">
        <v>1630</v>
      </c>
      <c r="I95" s="2" t="s">
        <v>1738</v>
      </c>
    </row>
    <row r="96" customFormat="false" ht="15" hidden="false" customHeight="false" outlineLevel="0" collapsed="false">
      <c r="A96" s="5" t="s">
        <v>1354</v>
      </c>
      <c r="B96" s="2" t="s">
        <v>1355</v>
      </c>
      <c r="C96" s="5" t="n">
        <f aca="false">COUNTIF(Kanallar!$D$2:$D$562,A96)</f>
        <v>2</v>
      </c>
      <c r="D96" s="7" t="n">
        <f aca="false">SUMIF(Kanallar!$D$2:$D$562,A96,Kanallar!$J$2:$J$562)</f>
        <v>3719</v>
      </c>
      <c r="E96" s="7" t="n">
        <f aca="false">IF(C96=0,0,D96/C96)</f>
        <v>1859.5</v>
      </c>
      <c r="F96" s="7" t="n">
        <f aca="false">_xlfn.MAXIFS(Kanallar!$J$2:$J$562,Kanallar!$D$2:$D$562,A96)</f>
        <v>1865</v>
      </c>
      <c r="G96" s="5" t="str">
        <f aca="false">IF(C96&gt;=6,"Dolu (6+)",IF(C96&gt;=3,"Kısmen dolu (3-5)","Az rakip (1-2)"))</f>
        <v>Az rakip (1-2)</v>
      </c>
      <c r="H96" s="2" t="s">
        <v>1739</v>
      </c>
      <c r="I96" s="2" t="s">
        <v>1740</v>
      </c>
    </row>
    <row r="97" customFormat="false" ht="15" hidden="false" customHeight="false" outlineLevel="0" collapsed="false">
      <c r="A97" s="5" t="s">
        <v>985</v>
      </c>
      <c r="B97" s="2" t="s">
        <v>986</v>
      </c>
      <c r="C97" s="5" t="n">
        <f aca="false">COUNTIF(Kanallar!$D$2:$D$562,A97)</f>
        <v>1</v>
      </c>
      <c r="D97" s="7" t="n">
        <f aca="false">SUMIF(Kanallar!$D$2:$D$562,A97,Kanallar!$J$2:$J$562)</f>
        <v>3410</v>
      </c>
      <c r="E97" s="7" t="n">
        <f aca="false">IF(C97=0,0,D97/C97)</f>
        <v>3410</v>
      </c>
      <c r="F97" s="7" t="n">
        <f aca="false">_xlfn.MAXIFS(Kanallar!$J$2:$J$562,Kanallar!$D$2:$D$562,A97)</f>
        <v>3410</v>
      </c>
      <c r="G97" s="5" t="str">
        <f aca="false">IF(C97&gt;=6,"Dolu (6+)",IF(C97&gt;=3,"Kısmen dolu (3-5)","Az rakip (1-2)"))</f>
        <v>Az rakip (1-2)</v>
      </c>
      <c r="H97" s="2" t="s">
        <v>1630</v>
      </c>
      <c r="I97" s="2" t="s">
        <v>1741</v>
      </c>
    </row>
    <row r="98" customFormat="false" ht="15" hidden="false" customHeight="false" outlineLevel="0" collapsed="false">
      <c r="A98" s="5" t="s">
        <v>1299</v>
      </c>
      <c r="B98" s="2" t="s">
        <v>1300</v>
      </c>
      <c r="C98" s="5" t="n">
        <f aca="false">COUNTIF(Kanallar!$D$2:$D$562,A98)</f>
        <v>1</v>
      </c>
      <c r="D98" s="7" t="n">
        <f aca="false">SUMIF(Kanallar!$D$2:$D$562,A98,Kanallar!$J$2:$J$562)</f>
        <v>2096</v>
      </c>
      <c r="E98" s="7" t="n">
        <f aca="false">IF(C98=0,0,D98/C98)</f>
        <v>2096</v>
      </c>
      <c r="F98" s="7" t="n">
        <f aca="false">_xlfn.MAXIFS(Kanallar!$J$2:$J$562,Kanallar!$D$2:$D$562,A98)</f>
        <v>2096</v>
      </c>
      <c r="G98" s="5" t="str">
        <f aca="false">IF(C98&gt;=6,"Dolu (6+)",IF(C98&gt;=3,"Kısmen dolu (3-5)","Az rakip (1-2)"))</f>
        <v>Az rakip (1-2)</v>
      </c>
      <c r="H98" s="2" t="s">
        <v>1630</v>
      </c>
      <c r="I98" s="2" t="s">
        <v>1742</v>
      </c>
    </row>
    <row r="99" customFormat="false" ht="15" hidden="false" customHeight="false" outlineLevel="0" collapsed="false">
      <c r="A99" s="5" t="s">
        <v>1391</v>
      </c>
      <c r="B99" s="2" t="s">
        <v>1392</v>
      </c>
      <c r="C99" s="5" t="n">
        <f aca="false">COUNTIF(Kanallar!$D$2:$D$562,A99)</f>
        <v>1</v>
      </c>
      <c r="D99" s="7" t="n">
        <f aca="false">SUMIF(Kanallar!$D$2:$D$562,A99,Kanallar!$J$2:$J$562)</f>
        <v>1697</v>
      </c>
      <c r="E99" s="7" t="n">
        <f aca="false">IF(C99=0,0,D99/C99)</f>
        <v>1697</v>
      </c>
      <c r="F99" s="7" t="n">
        <f aca="false">_xlfn.MAXIFS(Kanallar!$J$2:$J$562,Kanallar!$D$2:$D$562,A99)</f>
        <v>1697</v>
      </c>
      <c r="G99" s="5" t="str">
        <f aca="false">IF(C99&gt;=6,"Dolu (6+)",IF(C99&gt;=3,"Kısmen dolu (3-5)","Az rakip (1-2)"))</f>
        <v>Az rakip (1-2)</v>
      </c>
      <c r="H99" s="2" t="s">
        <v>1630</v>
      </c>
      <c r="I99" s="2" t="s">
        <v>1743</v>
      </c>
    </row>
    <row r="100" customFormat="false" ht="15" hidden="false" customHeight="false" outlineLevel="0" collapsed="false">
      <c r="A100" s="5" t="s">
        <v>1556</v>
      </c>
      <c r="B100" s="2" t="s">
        <v>1557</v>
      </c>
      <c r="C100" s="5" t="n">
        <f aca="false">COUNTIF(Kanallar!$D$2:$D$562,A100)</f>
        <v>1</v>
      </c>
      <c r="D100" s="7" t="n">
        <f aca="false">SUMIF(Kanallar!$D$2:$D$562,A100,Kanallar!$J$2:$J$562)</f>
        <v>1188</v>
      </c>
      <c r="E100" s="7" t="n">
        <f aca="false">IF(C100=0,0,D100/C100)</f>
        <v>1188</v>
      </c>
      <c r="F100" s="7" t="n">
        <f aca="false">_xlfn.MAXIFS(Kanallar!$J$2:$J$562,Kanallar!$D$2:$D$562,A100)</f>
        <v>1188</v>
      </c>
      <c r="G100" s="5" t="str">
        <f aca="false">IF(C100&gt;=6,"Dolu (6+)",IF(C100&gt;=3,"Kısmen dolu (3-5)","Az rakip (1-2)"))</f>
        <v>Az rakip (1-2)</v>
      </c>
      <c r="H100" s="2" t="s">
        <v>1630</v>
      </c>
      <c r="I100" s="2" t="s">
        <v>1744</v>
      </c>
    </row>
    <row r="101" customFormat="false" ht="15" hidden="false" customHeight="false" outlineLevel="0" collapsed="false">
      <c r="A101" s="5" t="s">
        <v>1562</v>
      </c>
      <c r="B101" s="2" t="s">
        <v>1563</v>
      </c>
      <c r="C101" s="5" t="n">
        <f aca="false">COUNTIF(Kanallar!$D$2:$D$562,A101)</f>
        <v>1</v>
      </c>
      <c r="D101" s="7" t="n">
        <f aca="false">SUMIF(Kanallar!$D$2:$D$562,A101,Kanallar!$J$2:$J$562)</f>
        <v>1186</v>
      </c>
      <c r="E101" s="7" t="n">
        <f aca="false">IF(C101=0,0,D101/C101)</f>
        <v>1186</v>
      </c>
      <c r="F101" s="7" t="n">
        <f aca="false">_xlfn.MAXIFS(Kanallar!$J$2:$J$562,Kanallar!$D$2:$D$562,A101)</f>
        <v>1186</v>
      </c>
      <c r="G101" s="5" t="str">
        <f aca="false">IF(C101&gt;=6,"Dolu (6+)",IF(C101&gt;=3,"Kısmen dolu (3-5)","Az rakip (1-2)"))</f>
        <v>Az rakip (1-2)</v>
      </c>
      <c r="H101" s="2" t="s">
        <v>1630</v>
      </c>
      <c r="I101" s="2" t="s">
        <v>1745</v>
      </c>
    </row>
    <row r="102" customFormat="false" ht="15" hidden="false" customHeight="false" outlineLevel="0" collapsed="false">
      <c r="A102" s="5" t="s">
        <v>1590</v>
      </c>
      <c r="B102" s="2" t="s">
        <v>1591</v>
      </c>
      <c r="C102" s="5" t="n">
        <f aca="false">COUNTIF(Kanallar!$D$2:$D$562,A102)</f>
        <v>1</v>
      </c>
      <c r="D102" s="7" t="n">
        <f aca="false">SUMIF(Kanallar!$D$2:$D$562,A102,Kanallar!$J$2:$J$562)</f>
        <v>1113</v>
      </c>
      <c r="E102" s="7" t="n">
        <f aca="false">IF(C102=0,0,D102/C102)</f>
        <v>1113</v>
      </c>
      <c r="F102" s="7" t="n">
        <f aca="false">_xlfn.MAXIFS(Kanallar!$J$2:$J$562,Kanallar!$D$2:$D$562,A102)</f>
        <v>1113</v>
      </c>
      <c r="G102" s="5" t="str">
        <f aca="false">IF(C102&gt;=6,"Dolu (6+)",IF(C102&gt;=3,"Kısmen dolu (3-5)","Az rakip (1-2)"))</f>
        <v>Az rakip (1-2)</v>
      </c>
      <c r="H102" s="2" t="s">
        <v>1630</v>
      </c>
      <c r="I102" s="2" t="s">
        <v>1746</v>
      </c>
    </row>
    <row r="103" customFormat="false" ht="15" hidden="false" customHeight="false" outlineLevel="0" collapsed="false">
      <c r="B103" s="11" t="s">
        <v>1747</v>
      </c>
      <c r="C103" s="11" t="n">
        <f aca="false">SUM(C2:C102)</f>
        <v>561</v>
      </c>
      <c r="D103" s="12" t="n">
        <f aca="false">SUM(D2:D102)</f>
        <v>3348213</v>
      </c>
    </row>
    <row r="104" customFormat="false" ht="15" hidden="false" customHeight="false" outlineLevel="0" collapsed="false">
      <c r="B104" s="13" t="s">
        <v>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20"/>
    <col collapsed="false" customWidth="true" hidden="false" outlineLevel="0" max="4" min="4" style="0" width="50"/>
    <col collapsed="false" customWidth="true" hidden="false" outlineLevel="0" max="5" min="5" style="0" width="42"/>
    <col collapsed="false" customWidth="true" hidden="false" outlineLevel="0" max="6" min="6" style="0" width="60"/>
    <col collapsed="false" customWidth="true" hidden="false" outlineLevel="0" max="7" min="7" style="0" width="30"/>
    <col collapsed="false" customWidth="true" hidden="false" outlineLevel="0" max="8" min="8" style="0" width="9"/>
  </cols>
  <sheetData>
    <row r="1" customFormat="false" ht="23.85" hidden="false" customHeight="false" outlineLevel="0" collapsed="false">
      <c r="A1" s="4" t="s">
        <v>1749</v>
      </c>
      <c r="B1" s="4" t="s">
        <v>1750</v>
      </c>
      <c r="C1" s="4" t="s">
        <v>1751</v>
      </c>
      <c r="D1" s="4" t="s">
        <v>1752</v>
      </c>
      <c r="E1" s="4" t="s">
        <v>1753</v>
      </c>
      <c r="F1" s="4" t="s">
        <v>1754</v>
      </c>
      <c r="G1" s="4" t="s">
        <v>1755</v>
      </c>
      <c r="H1" s="4" t="s">
        <v>1756</v>
      </c>
    </row>
    <row r="2" customFormat="false" ht="35.05" hidden="false" customHeight="false" outlineLevel="0" collapsed="false">
      <c r="A2" s="2" t="n">
        <v>1</v>
      </c>
      <c r="B2" s="2" t="s">
        <v>1757</v>
      </c>
      <c r="C2" s="2" t="s">
        <v>1758</v>
      </c>
      <c r="D2" s="2" t="s">
        <v>1759</v>
      </c>
      <c r="E2" s="2" t="s">
        <v>1760</v>
      </c>
      <c r="F2" s="2" t="s">
        <v>1761</v>
      </c>
      <c r="G2" s="2" t="s">
        <v>1762</v>
      </c>
      <c r="H2" s="14" t="n">
        <v>9</v>
      </c>
    </row>
    <row r="3" customFormat="false" ht="57.45" hidden="false" customHeight="false" outlineLevel="0" collapsed="false">
      <c r="A3" s="2" t="n">
        <v>2</v>
      </c>
      <c r="B3" s="2" t="s">
        <v>1763</v>
      </c>
      <c r="C3" s="2" t="s">
        <v>1764</v>
      </c>
      <c r="D3" s="2" t="s">
        <v>1765</v>
      </c>
      <c r="E3" s="2" t="s">
        <v>1766</v>
      </c>
      <c r="F3" s="2" t="s">
        <v>1767</v>
      </c>
      <c r="G3" s="2" t="s">
        <v>1768</v>
      </c>
      <c r="H3" s="14" t="n">
        <v>9</v>
      </c>
    </row>
    <row r="4" customFormat="false" ht="35.05" hidden="false" customHeight="false" outlineLevel="0" collapsed="false">
      <c r="A4" s="2" t="n">
        <v>3</v>
      </c>
      <c r="B4" s="2" t="s">
        <v>1769</v>
      </c>
      <c r="C4" s="2" t="s">
        <v>1758</v>
      </c>
      <c r="D4" s="2" t="s">
        <v>1770</v>
      </c>
      <c r="E4" s="2" t="s">
        <v>1771</v>
      </c>
      <c r="F4" s="2" t="s">
        <v>1772</v>
      </c>
      <c r="G4" s="2" t="s">
        <v>1773</v>
      </c>
      <c r="H4" s="14" t="n">
        <v>8</v>
      </c>
    </row>
    <row r="5" customFormat="false" ht="23.85" hidden="false" customHeight="false" outlineLevel="0" collapsed="false">
      <c r="A5" s="2" t="n">
        <v>4</v>
      </c>
      <c r="B5" s="2" t="s">
        <v>1774</v>
      </c>
      <c r="C5" s="2" t="s">
        <v>1775</v>
      </c>
      <c r="D5" s="2" t="s">
        <v>1776</v>
      </c>
      <c r="E5" s="2" t="s">
        <v>1777</v>
      </c>
      <c r="F5" s="2" t="s">
        <v>1778</v>
      </c>
      <c r="G5" s="2" t="s">
        <v>1779</v>
      </c>
      <c r="H5" s="14" t="n">
        <v>8</v>
      </c>
    </row>
    <row r="6" customFormat="false" ht="23.85" hidden="false" customHeight="false" outlineLevel="0" collapsed="false">
      <c r="A6" s="2" t="n">
        <v>5</v>
      </c>
      <c r="B6" s="2" t="s">
        <v>1780</v>
      </c>
      <c r="C6" s="2" t="s">
        <v>1758</v>
      </c>
      <c r="D6" s="2" t="s">
        <v>1781</v>
      </c>
      <c r="E6" s="2" t="s">
        <v>1782</v>
      </c>
      <c r="F6" s="2" t="s">
        <v>1783</v>
      </c>
      <c r="G6" s="2" t="s">
        <v>1784</v>
      </c>
      <c r="H6" s="14" t="n">
        <v>8</v>
      </c>
    </row>
    <row r="7" customFormat="false" ht="23.85" hidden="false" customHeight="false" outlineLevel="0" collapsed="false">
      <c r="A7" s="2" t="n">
        <v>6</v>
      </c>
      <c r="B7" s="2" t="s">
        <v>1785</v>
      </c>
      <c r="C7" s="2" t="s">
        <v>1758</v>
      </c>
      <c r="D7" s="2" t="s">
        <v>1786</v>
      </c>
      <c r="E7" s="2" t="s">
        <v>1787</v>
      </c>
      <c r="F7" s="2" t="s">
        <v>1788</v>
      </c>
      <c r="G7" s="2" t="s">
        <v>1789</v>
      </c>
      <c r="H7" s="14" t="n">
        <v>8</v>
      </c>
    </row>
    <row r="8" customFormat="false" ht="46.25" hidden="false" customHeight="false" outlineLevel="0" collapsed="false">
      <c r="A8" s="2" t="n">
        <v>7</v>
      </c>
      <c r="B8" s="2" t="s">
        <v>1790</v>
      </c>
      <c r="C8" s="2" t="s">
        <v>1775</v>
      </c>
      <c r="D8" s="2" t="s">
        <v>1791</v>
      </c>
      <c r="E8" s="2" t="s">
        <v>1792</v>
      </c>
      <c r="F8" s="2" t="s">
        <v>1793</v>
      </c>
      <c r="G8" s="2" t="s">
        <v>1794</v>
      </c>
      <c r="H8" s="14" t="n">
        <v>8</v>
      </c>
    </row>
    <row r="9" customFormat="false" ht="35.05" hidden="false" customHeight="false" outlineLevel="0" collapsed="false">
      <c r="A9" s="2" t="n">
        <v>8</v>
      </c>
      <c r="B9" s="2" t="s">
        <v>1795</v>
      </c>
      <c r="C9" s="2" t="s">
        <v>1796</v>
      </c>
      <c r="D9" s="2" t="s">
        <v>1797</v>
      </c>
      <c r="E9" s="2" t="s">
        <v>1798</v>
      </c>
      <c r="F9" s="2" t="s">
        <v>1799</v>
      </c>
      <c r="G9" s="2" t="s">
        <v>1800</v>
      </c>
      <c r="H9" s="14" t="n">
        <v>7</v>
      </c>
    </row>
    <row r="10" customFormat="false" ht="23.85" hidden="false" customHeight="false" outlineLevel="0" collapsed="false">
      <c r="A10" s="2" t="n">
        <v>9</v>
      </c>
      <c r="B10" s="2" t="s">
        <v>1801</v>
      </c>
      <c r="C10" s="2" t="s">
        <v>1802</v>
      </c>
      <c r="D10" s="2" t="s">
        <v>1803</v>
      </c>
      <c r="E10" s="2" t="s">
        <v>1804</v>
      </c>
      <c r="F10" s="2" t="s">
        <v>1805</v>
      </c>
      <c r="G10" s="2" t="s">
        <v>1806</v>
      </c>
      <c r="H10" s="14" t="n">
        <v>7</v>
      </c>
    </row>
    <row r="11" customFormat="false" ht="35.05" hidden="false" customHeight="false" outlineLevel="0" collapsed="false">
      <c r="A11" s="2" t="n">
        <v>10</v>
      </c>
      <c r="B11" s="2" t="s">
        <v>1807</v>
      </c>
      <c r="C11" s="2" t="s">
        <v>1775</v>
      </c>
      <c r="D11" s="2" t="s">
        <v>1808</v>
      </c>
      <c r="E11" s="2" t="s">
        <v>1809</v>
      </c>
      <c r="F11" s="2" t="s">
        <v>1810</v>
      </c>
      <c r="G11" s="2" t="s">
        <v>1811</v>
      </c>
      <c r="H11" s="14" t="n">
        <v>7</v>
      </c>
    </row>
    <row r="12" customFormat="false" ht="23.85" hidden="false" customHeight="false" outlineLevel="0" collapsed="false">
      <c r="A12" s="2" t="n">
        <v>11</v>
      </c>
      <c r="B12" s="2" t="s">
        <v>1812</v>
      </c>
      <c r="C12" s="2" t="s">
        <v>1813</v>
      </c>
      <c r="D12" s="2" t="s">
        <v>1814</v>
      </c>
      <c r="E12" s="2" t="s">
        <v>1815</v>
      </c>
      <c r="F12" s="2" t="s">
        <v>1816</v>
      </c>
      <c r="G12" s="2" t="s">
        <v>1817</v>
      </c>
      <c r="H12" s="14" t="n">
        <v>7</v>
      </c>
    </row>
    <row r="13" customFormat="false" ht="23.85" hidden="false" customHeight="false" outlineLevel="0" collapsed="false">
      <c r="A13" s="2" t="n">
        <v>12</v>
      </c>
      <c r="B13" s="2" t="s">
        <v>1818</v>
      </c>
      <c r="C13" s="2" t="s">
        <v>1802</v>
      </c>
      <c r="D13" s="2" t="s">
        <v>1819</v>
      </c>
      <c r="E13" s="2" t="s">
        <v>1820</v>
      </c>
      <c r="F13" s="2" t="s">
        <v>1821</v>
      </c>
      <c r="G13" s="2" t="s">
        <v>1822</v>
      </c>
      <c r="H13" s="14" t="n">
        <v>6</v>
      </c>
    </row>
    <row r="14" customFormat="false" ht="23.85" hidden="false" customHeight="false" outlineLevel="0" collapsed="false">
      <c r="A14" s="2" t="n">
        <v>13</v>
      </c>
      <c r="B14" s="2" t="s">
        <v>1823</v>
      </c>
      <c r="C14" s="2" t="s">
        <v>1802</v>
      </c>
      <c r="D14" s="2" t="s">
        <v>1824</v>
      </c>
      <c r="E14" s="2" t="s">
        <v>1825</v>
      </c>
      <c r="F14" s="2" t="s">
        <v>1826</v>
      </c>
      <c r="G14" s="2" t="s">
        <v>1827</v>
      </c>
      <c r="H14" s="14" t="n">
        <v>6</v>
      </c>
    </row>
    <row r="15" customFormat="false" ht="23.85" hidden="false" customHeight="false" outlineLevel="0" collapsed="false">
      <c r="A15" s="2" t="n">
        <v>14</v>
      </c>
      <c r="B15" s="2" t="s">
        <v>1828</v>
      </c>
      <c r="C15" s="2" t="s">
        <v>1802</v>
      </c>
      <c r="D15" s="2" t="s">
        <v>1829</v>
      </c>
      <c r="E15" s="2" t="s">
        <v>1830</v>
      </c>
      <c r="F15" s="2" t="s">
        <v>1831</v>
      </c>
      <c r="G15" s="2" t="s">
        <v>1832</v>
      </c>
      <c r="H15" s="14" t="n">
        <v>6</v>
      </c>
    </row>
    <row r="16" customFormat="false" ht="23.85" hidden="false" customHeight="false" outlineLevel="0" collapsed="false">
      <c r="A16" s="2" t="n">
        <v>15</v>
      </c>
      <c r="B16" s="2" t="s">
        <v>1833</v>
      </c>
      <c r="C16" s="2" t="s">
        <v>1758</v>
      </c>
      <c r="D16" s="2" t="s">
        <v>1834</v>
      </c>
      <c r="E16" s="2" t="s">
        <v>1830</v>
      </c>
      <c r="F16" s="2" t="s">
        <v>1835</v>
      </c>
      <c r="G16" s="2" t="s">
        <v>1836</v>
      </c>
      <c r="H16" s="14" t="n">
        <v>6</v>
      </c>
    </row>
    <row r="17" customFormat="false" ht="23.85" hidden="false" customHeight="false" outlineLevel="0" collapsed="false">
      <c r="A17" s="2" t="n">
        <v>16</v>
      </c>
      <c r="B17" s="2" t="s">
        <v>1837</v>
      </c>
      <c r="C17" s="2" t="s">
        <v>1838</v>
      </c>
      <c r="D17" s="2" t="s">
        <v>1839</v>
      </c>
      <c r="E17" s="2" t="s">
        <v>1830</v>
      </c>
      <c r="F17" s="2" t="s">
        <v>1840</v>
      </c>
      <c r="G17" s="2" t="s">
        <v>1841</v>
      </c>
      <c r="H17" s="14" t="n">
        <v>6</v>
      </c>
    </row>
    <row r="18" customFormat="false" ht="15" hidden="false" customHeight="false" outlineLevel="0" collapsed="false">
      <c r="A18" s="2" t="n">
        <v>17</v>
      </c>
      <c r="B18" s="2" t="s">
        <v>1842</v>
      </c>
      <c r="C18" s="2" t="s">
        <v>1758</v>
      </c>
      <c r="D18" s="2" t="s">
        <v>1843</v>
      </c>
      <c r="E18" s="2" t="s">
        <v>1830</v>
      </c>
      <c r="F18" s="2" t="s">
        <v>1844</v>
      </c>
      <c r="G18" s="2" t="s">
        <v>1845</v>
      </c>
      <c r="H18" s="14" t="n">
        <v>6</v>
      </c>
    </row>
    <row r="19" customFormat="false" ht="35.05" hidden="false" customHeight="false" outlineLevel="0" collapsed="false">
      <c r="A19" s="2" t="n">
        <v>18</v>
      </c>
      <c r="B19" s="2" t="s">
        <v>1846</v>
      </c>
      <c r="C19" s="2" t="s">
        <v>1775</v>
      </c>
      <c r="D19" s="2" t="s">
        <v>1847</v>
      </c>
      <c r="E19" s="2" t="s">
        <v>1848</v>
      </c>
      <c r="F19" s="2" t="s">
        <v>1849</v>
      </c>
      <c r="G19" s="2" t="s">
        <v>1850</v>
      </c>
      <c r="H19" s="14" t="n">
        <v>6</v>
      </c>
    </row>
    <row r="20" customFormat="false" ht="23.85" hidden="false" customHeight="false" outlineLevel="0" collapsed="false">
      <c r="A20" s="2" t="n">
        <v>19</v>
      </c>
      <c r="B20" s="2" t="s">
        <v>1851</v>
      </c>
      <c r="C20" s="2" t="s">
        <v>1802</v>
      </c>
      <c r="D20" s="2" t="s">
        <v>1852</v>
      </c>
      <c r="E20" s="2" t="s">
        <v>1830</v>
      </c>
      <c r="F20" s="2" t="s">
        <v>1853</v>
      </c>
      <c r="G20" s="2" t="s">
        <v>1854</v>
      </c>
      <c r="H20" s="14" t="n">
        <v>6</v>
      </c>
    </row>
    <row r="21" customFormat="false" ht="23.85" hidden="false" customHeight="false" outlineLevel="0" collapsed="false">
      <c r="A21" s="2" t="n">
        <v>20</v>
      </c>
      <c r="B21" s="2" t="s">
        <v>1855</v>
      </c>
      <c r="C21" s="2" t="s">
        <v>1796</v>
      </c>
      <c r="D21" s="2" t="s">
        <v>1856</v>
      </c>
      <c r="E21" s="2" t="s">
        <v>1830</v>
      </c>
      <c r="F21" s="2" t="s">
        <v>1857</v>
      </c>
      <c r="G21" s="2" t="s">
        <v>1858</v>
      </c>
      <c r="H21" s="14" t="n">
        <v>5</v>
      </c>
    </row>
    <row r="22" customFormat="false" ht="23.85" hidden="false" customHeight="false" outlineLevel="0" collapsed="false">
      <c r="A22" s="2" t="n">
        <v>21</v>
      </c>
      <c r="B22" s="2" t="s">
        <v>1859</v>
      </c>
      <c r="C22" s="2" t="s">
        <v>1758</v>
      </c>
      <c r="D22" s="2" t="s">
        <v>1860</v>
      </c>
      <c r="E22" s="2" t="s">
        <v>1830</v>
      </c>
      <c r="F22" s="2" t="s">
        <v>1861</v>
      </c>
      <c r="G22" s="2" t="s">
        <v>1862</v>
      </c>
      <c r="H22" s="14" t="n">
        <v>5</v>
      </c>
    </row>
    <row r="23" customFormat="false" ht="23.85" hidden="false" customHeight="false" outlineLevel="0" collapsed="false">
      <c r="A23" s="2" t="n">
        <v>22</v>
      </c>
      <c r="B23" s="2" t="s">
        <v>1863</v>
      </c>
      <c r="C23" s="2" t="s">
        <v>1758</v>
      </c>
      <c r="D23" s="2" t="s">
        <v>1864</v>
      </c>
      <c r="E23" s="2" t="s">
        <v>1830</v>
      </c>
      <c r="F23" s="2" t="s">
        <v>1865</v>
      </c>
      <c r="G23" s="2" t="s">
        <v>1862</v>
      </c>
      <c r="H23" s="14" t="n">
        <v>5</v>
      </c>
    </row>
    <row r="25" customFormat="false" ht="15" hidden="false" customHeight="false" outlineLevel="0" collapsed="false">
      <c r="B25" s="13" t="s">
        <v>1866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90"/>
    <col collapsed="false" customWidth="true" hidden="false" outlineLevel="0" max="4" min="4" style="0" width="36"/>
  </cols>
  <sheetData>
    <row r="1" customFormat="false" ht="15" hidden="false" customHeight="false" outlineLevel="0" collapsed="false">
      <c r="A1" s="4" t="s">
        <v>1867</v>
      </c>
      <c r="B1" s="4" t="s">
        <v>1868</v>
      </c>
      <c r="C1" s="4" t="s">
        <v>1869</v>
      </c>
      <c r="D1" s="4" t="s">
        <v>1870</v>
      </c>
    </row>
    <row r="2" customFormat="false" ht="23.85" hidden="false" customHeight="false" outlineLevel="0" collapsed="false">
      <c r="A2" s="2" t="s">
        <v>1871</v>
      </c>
      <c r="B2" s="2" t="s">
        <v>1872</v>
      </c>
      <c r="C2" s="2" t="s">
        <v>1873</v>
      </c>
      <c r="D2" s="2" t="s">
        <v>1874</v>
      </c>
    </row>
    <row r="3" customFormat="false" ht="23.85" hidden="false" customHeight="false" outlineLevel="0" collapsed="false">
      <c r="A3" s="2" t="s">
        <v>1875</v>
      </c>
      <c r="B3" s="2" t="s">
        <v>1876</v>
      </c>
      <c r="C3" s="2" t="s">
        <v>1877</v>
      </c>
      <c r="D3" s="2" t="s">
        <v>1878</v>
      </c>
    </row>
    <row r="4" customFormat="false" ht="23.85" hidden="false" customHeight="false" outlineLevel="0" collapsed="false">
      <c r="A4" s="2" t="s">
        <v>1879</v>
      </c>
      <c r="B4" s="2" t="s">
        <v>1876</v>
      </c>
      <c r="C4" s="2" t="s">
        <v>1880</v>
      </c>
      <c r="D4" s="2" t="s">
        <v>1881</v>
      </c>
    </row>
    <row r="5" customFormat="false" ht="15" hidden="false" customHeight="false" outlineLevel="0" collapsed="false">
      <c r="A5" s="2" t="s">
        <v>1882</v>
      </c>
      <c r="B5" s="2" t="s">
        <v>1872</v>
      </c>
      <c r="C5" s="2" t="s">
        <v>1883</v>
      </c>
      <c r="D5" s="2" t="s">
        <v>1884</v>
      </c>
    </row>
    <row r="6" customFormat="false" ht="23.85" hidden="false" customHeight="false" outlineLevel="0" collapsed="false">
      <c r="A6" s="2" t="s">
        <v>1885</v>
      </c>
      <c r="B6" s="2" t="s">
        <v>1872</v>
      </c>
      <c r="C6" s="2" t="s">
        <v>1886</v>
      </c>
      <c r="D6" s="2" t="s">
        <v>1887</v>
      </c>
    </row>
    <row r="7" customFormat="false" ht="15" hidden="false" customHeight="false" outlineLevel="0" collapsed="false">
      <c r="A7" s="2" t="s">
        <v>1888</v>
      </c>
      <c r="B7" s="2" t="s">
        <v>1889</v>
      </c>
      <c r="C7" s="2" t="s">
        <v>1890</v>
      </c>
      <c r="D7" s="2" t="s">
        <v>1891</v>
      </c>
    </row>
    <row r="8" customFormat="false" ht="23.85" hidden="false" customHeight="false" outlineLevel="0" collapsed="false">
      <c r="A8" s="2" t="s">
        <v>1892</v>
      </c>
      <c r="B8" s="2" t="s">
        <v>1893</v>
      </c>
      <c r="C8" s="2" t="s">
        <v>1894</v>
      </c>
      <c r="D8" s="2" t="s">
        <v>1895</v>
      </c>
    </row>
    <row r="9" customFormat="false" ht="23.85" hidden="false" customHeight="false" outlineLevel="0" collapsed="false">
      <c r="A9" s="2" t="s">
        <v>1896</v>
      </c>
      <c r="B9" s="2" t="s">
        <v>1876</v>
      </c>
      <c r="C9" s="2" t="s">
        <v>1897</v>
      </c>
      <c r="D9" s="2" t="s">
        <v>1898</v>
      </c>
    </row>
    <row r="10" customFormat="false" ht="15" hidden="false" customHeight="false" outlineLevel="0" collapsed="false">
      <c r="A10" s="2" t="s">
        <v>1899</v>
      </c>
      <c r="B10" s="2" t="s">
        <v>1889</v>
      </c>
      <c r="C10" s="2" t="s">
        <v>1900</v>
      </c>
      <c r="D10" s="2" t="s">
        <v>1901</v>
      </c>
    </row>
    <row r="11" customFormat="false" ht="23.85" hidden="false" customHeight="false" outlineLevel="0" collapsed="false">
      <c r="A11" s="2" t="s">
        <v>1902</v>
      </c>
      <c r="B11" s="2" t="s">
        <v>1876</v>
      </c>
      <c r="C11" s="2" t="s">
        <v>1903</v>
      </c>
      <c r="D11" s="2" t="s">
        <v>1904</v>
      </c>
    </row>
    <row r="12" customFormat="false" ht="23.85" hidden="false" customHeight="false" outlineLevel="0" collapsed="false">
      <c r="A12" s="2" t="s">
        <v>1905</v>
      </c>
      <c r="B12" s="2" t="s">
        <v>1876</v>
      </c>
      <c r="C12" s="2" t="s">
        <v>1906</v>
      </c>
      <c r="D12" s="2" t="s">
        <v>1901</v>
      </c>
    </row>
    <row r="13" customFormat="false" ht="23.85" hidden="false" customHeight="false" outlineLevel="0" collapsed="false">
      <c r="A13" s="2" t="s">
        <v>1907</v>
      </c>
      <c r="B13" s="2" t="s">
        <v>1872</v>
      </c>
      <c r="C13" s="2" t="s">
        <v>1908</v>
      </c>
      <c r="D13" s="2" t="s">
        <v>1909</v>
      </c>
    </row>
    <row r="14" customFormat="false" ht="15" hidden="false" customHeight="false" outlineLevel="0" collapsed="false">
      <c r="A14" s="2" t="s">
        <v>1910</v>
      </c>
      <c r="B14" s="2" t="s">
        <v>1876</v>
      </c>
      <c r="C14" s="2" t="s">
        <v>1911</v>
      </c>
      <c r="D14" s="2" t="s">
        <v>1901</v>
      </c>
    </row>
    <row r="15" customFormat="false" ht="35.05" hidden="false" customHeight="false" outlineLevel="0" collapsed="false">
      <c r="A15" s="2" t="s">
        <v>1912</v>
      </c>
      <c r="B15" s="2" t="s">
        <v>1913</v>
      </c>
      <c r="C15" s="2" t="s">
        <v>1914</v>
      </c>
      <c r="D15" s="2" t="s">
        <v>1915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2026-10-09T21:27:36Z</dcterms:created>
  <dc:creator>openpyxl</dc:creator>
  <dc:description/>
  <dc:language>en-US</dc:language>
  <cp:lastModifiedBy/>
  <dcterms:modified xsi:type="dcterms:W3CDTF">2026-10-09T21:27:37Z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